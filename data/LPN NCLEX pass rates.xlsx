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caoy01\YanCao\CaoFiles\git clone folder\LPN-nclex-passrate\data\"/>
    </mc:Choice>
  </mc:AlternateContent>
  <xr:revisionPtr revIDLastSave="0" documentId="13_ncr:1_{DB38B5B2-B60F-45A9-AD83-9A2BB641F044}" xr6:coauthVersionLast="47" xr6:coauthVersionMax="47" xr10:uidLastSave="{00000000-0000-0000-0000-000000000000}"/>
  <bookViews>
    <workbookView xWindow="-108" yWindow="-108" windowWidth="23256" windowHeight="12456" firstSheet="1" activeTab="8" xr2:uid="{00000000-000D-0000-FFFF-FFFF00000000}"/>
  </bookViews>
  <sheets>
    <sheet name="Region" sheetId="3" r:id="rId1"/>
    <sheet name="TN" sheetId="2" r:id="rId2"/>
    <sheet name="Sheet3" sheetId="4" r:id="rId3"/>
    <sheet name="Table 1" sheetId="1" r:id="rId4"/>
    <sheet name="Heatmap-2024" sheetId="6" r:id="rId5"/>
    <sheet name="Heatmap-2023" sheetId="7" r:id="rId6"/>
    <sheet name="Heatmap-2022" sheetId="8" r:id="rId7"/>
    <sheet name="Heatmap-2021" sheetId="9" r:id="rId8"/>
    <sheet name="Heatmap-2020" sheetId="10" r:id="rId9"/>
  </sheets>
  <definedNames>
    <definedName name="ExternalData_1" localSheetId="3" hidden="1">'Table 1'!$AE$1:$AE$96</definedName>
  </definedNames>
  <calcPr calcId="191029"/>
  <pivotCaches>
    <pivotCache cacheId="0" r:id="rId1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22" i="3" l="1"/>
  <c r="Q23" i="3"/>
  <c r="Q24" i="3"/>
  <c r="Q25" i="3"/>
  <c r="Q26" i="3"/>
  <c r="Q27" i="3"/>
  <c r="Q28" i="3"/>
  <c r="Q21" i="3"/>
  <c r="N22" i="3"/>
  <c r="N23" i="3"/>
  <c r="N24" i="3"/>
  <c r="N25" i="3"/>
  <c r="N26" i="3"/>
  <c r="N27" i="3"/>
  <c r="N28" i="3"/>
  <c r="N21" i="3"/>
  <c r="K22" i="3"/>
  <c r="K23" i="3"/>
  <c r="K24" i="3"/>
  <c r="K25" i="3"/>
  <c r="K26" i="3"/>
  <c r="K27" i="3"/>
  <c r="K28" i="3"/>
  <c r="K21" i="3"/>
  <c r="H22" i="3"/>
  <c r="H23" i="3"/>
  <c r="H24" i="3"/>
  <c r="H25" i="3"/>
  <c r="H26" i="3"/>
  <c r="H27" i="3"/>
  <c r="H28" i="3"/>
  <c r="H21" i="3"/>
  <c r="E22" i="3"/>
  <c r="E23" i="3"/>
  <c r="E24" i="3"/>
  <c r="E25" i="3"/>
  <c r="E26" i="3"/>
  <c r="E27" i="3"/>
  <c r="E28" i="3"/>
  <c r="E21" i="3"/>
  <c r="AB4" i="2"/>
  <c r="AB3" i="2"/>
  <c r="Y4" i="2"/>
  <c r="Y3" i="2"/>
  <c r="V4" i="2"/>
  <c r="V3" i="2"/>
  <c r="S4" i="2"/>
  <c r="S3" i="2"/>
  <c r="P4" i="2"/>
  <c r="P3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426216B-1386-43D0-AE29-12FD6B5C9DF0}" keepAlive="1" name="Query - Table 1" description="Connection to the 'Table 1' query in the workbook." type="5" refreshedVersion="8" background="1" saveData="1">
    <dbPr connection="Provider=Microsoft.Mashup.OleDb.1;Data Source=$Workbook$;Location=&quot;Table 1&quot;;Extended Properties=&quot;&quot;" command="SELECT * FROM [Table 1]"/>
  </connection>
  <connection id="2" xr16:uid="{841DCBFF-1841-4AE0-B76B-42EF44B38D00}" keepAlive="1" name="Query - Table 1 (2)" description="Connection to the 'Table 1 (2)' query in the workbook." type="5" refreshedVersion="8" background="1" saveData="1">
    <dbPr connection="Provider=Microsoft.Mashup.OleDb.1;Data Source=$Workbook$;Location=&quot;Table 1 (2)&quot;;Extended Properties=&quot;&quot;" command="SELECT * FROM [Table 1 (2)]"/>
  </connection>
</connections>
</file>

<file path=xl/sharedStrings.xml><?xml version="1.0" encoding="utf-8"?>
<sst xmlns="http://schemas.openxmlformats.org/spreadsheetml/2006/main" count="575" uniqueCount="180">
  <si>
    <r>
      <rPr>
        <b/>
        <sz val="7.5"/>
        <rFont val="Times New Roman"/>
        <family val="1"/>
      </rPr>
      <t>No.</t>
    </r>
  </si>
  <si>
    <r>
      <rPr>
        <b/>
        <sz val="7.5"/>
        <rFont val="Times New Roman"/>
        <family val="1"/>
      </rPr>
      <t>Pass</t>
    </r>
  </si>
  <si>
    <r>
      <rPr>
        <b/>
        <sz val="7.5"/>
        <rFont val="Times New Roman"/>
        <family val="1"/>
      </rPr>
      <t>% Pass</t>
    </r>
  </si>
  <si>
    <r>
      <rPr>
        <sz val="7.5"/>
        <rFont val="Times New Roman"/>
        <family val="1"/>
      </rPr>
      <t>Allied Health Careers Institute***</t>
    </r>
  </si>
  <si>
    <r>
      <rPr>
        <sz val="7.5"/>
        <rFont val="Times New Roman"/>
        <family val="1"/>
      </rPr>
      <t>Appalachian Regional PN</t>
    </r>
  </si>
  <si>
    <r>
      <rPr>
        <sz val="7.5"/>
        <rFont val="Times New Roman"/>
        <family val="1"/>
      </rPr>
      <t>Chattanooga College PN Program</t>
    </r>
  </si>
  <si>
    <r>
      <rPr>
        <sz val="7.5"/>
        <rFont val="Times New Roman"/>
        <family val="1"/>
      </rPr>
      <t>Chattanooga State CC PN Program</t>
    </r>
  </si>
  <si>
    <r>
      <rPr>
        <sz val="7.5"/>
        <rFont val="Times New Roman"/>
        <family val="1"/>
      </rPr>
      <t>Fortis Institute</t>
    </r>
  </si>
  <si>
    <r>
      <rPr>
        <sz val="7.5"/>
        <rFont val="Times New Roman"/>
        <family val="1"/>
      </rPr>
      <t>Herzing University</t>
    </r>
  </si>
  <si>
    <r>
      <rPr>
        <sz val="7.5"/>
        <rFont val="Times New Roman"/>
        <family val="1"/>
      </rPr>
      <t>Jackson Regional PN Program</t>
    </r>
  </si>
  <si>
    <r>
      <rPr>
        <sz val="7.5"/>
        <rFont val="Times New Roman"/>
        <family val="1"/>
      </rPr>
      <t>South Central Reg. PN Program</t>
    </r>
  </si>
  <si>
    <r>
      <rPr>
        <sz val="7.5"/>
        <rFont val="Times New Roman"/>
        <family val="1"/>
      </rPr>
      <t>South College</t>
    </r>
  </si>
  <si>
    <r>
      <rPr>
        <sz val="7.5"/>
        <rFont val="Times New Roman"/>
        <family val="1"/>
      </rPr>
      <t>Stones River PN Program</t>
    </r>
  </si>
  <si>
    <r>
      <rPr>
        <sz val="7.5"/>
        <rFont val="Times New Roman"/>
        <family val="1"/>
      </rPr>
      <t>TCAT - Athens</t>
    </r>
  </si>
  <si>
    <r>
      <rPr>
        <sz val="7.5"/>
        <rFont val="Times New Roman"/>
        <family val="1"/>
      </rPr>
      <t>TCAT - Crump</t>
    </r>
  </si>
  <si>
    <r>
      <rPr>
        <sz val="7.5"/>
        <rFont val="Times New Roman"/>
        <family val="1"/>
      </rPr>
      <t>TCAT - Dickson</t>
    </r>
  </si>
  <si>
    <r>
      <rPr>
        <sz val="7.5"/>
        <rFont val="Times New Roman"/>
        <family val="1"/>
      </rPr>
      <t>TCAT - Elizabethton</t>
    </r>
  </si>
  <si>
    <r>
      <rPr>
        <sz val="7.5"/>
        <rFont val="Times New Roman"/>
        <family val="1"/>
      </rPr>
      <t xml:space="preserve">TCAT - Harriman </t>
    </r>
    <r>
      <rPr>
        <b/>
        <sz val="7.5"/>
        <rFont val="Times New Roman"/>
        <family val="1"/>
      </rPr>
      <t>(effective 8/2023 part of Appalachian Regional PN)</t>
    </r>
  </si>
  <si>
    <r>
      <rPr>
        <sz val="7.5"/>
        <rFont val="Times New Roman"/>
        <family val="1"/>
      </rPr>
      <t>TCAT - Harstville</t>
    </r>
  </si>
  <si>
    <r>
      <rPr>
        <sz val="7.5"/>
        <rFont val="Times New Roman"/>
        <family val="1"/>
      </rPr>
      <t xml:space="preserve">TCAT - Henry/Carroll </t>
    </r>
    <r>
      <rPr>
        <b/>
        <sz val="7.5"/>
        <rFont val="Times New Roman"/>
        <family val="1"/>
      </rPr>
      <t xml:space="preserve">(formerly
</t>
    </r>
    <r>
      <rPr>
        <b/>
        <sz val="7.5"/>
        <rFont val="Times New Roman"/>
        <family val="1"/>
      </rPr>
      <t>TCAT Paris)</t>
    </r>
  </si>
  <si>
    <r>
      <rPr>
        <sz val="7.5"/>
        <rFont val="Times New Roman"/>
        <family val="1"/>
      </rPr>
      <t>TCAT - Hohenwald</t>
    </r>
  </si>
  <si>
    <r>
      <rPr>
        <sz val="7.5"/>
        <rFont val="Times New Roman"/>
        <family val="1"/>
      </rPr>
      <t>TCAT - Knoxville</t>
    </r>
  </si>
  <si>
    <r>
      <rPr>
        <sz val="7.5"/>
        <rFont val="Times New Roman"/>
        <family val="1"/>
      </rPr>
      <t>TCAT - Livingston</t>
    </r>
  </si>
  <si>
    <r>
      <rPr>
        <sz val="7.5"/>
        <rFont val="Times New Roman"/>
        <family val="1"/>
      </rPr>
      <t>TCAT - Memphis</t>
    </r>
  </si>
  <si>
    <r>
      <rPr>
        <sz val="7.5"/>
        <rFont val="Times New Roman"/>
        <family val="1"/>
      </rPr>
      <t>TCAT - Morristown</t>
    </r>
  </si>
  <si>
    <r>
      <rPr>
        <sz val="7.5"/>
        <rFont val="Times New Roman"/>
        <family val="1"/>
      </rPr>
      <t>TCAT - Nashville</t>
    </r>
  </si>
  <si>
    <r>
      <rPr>
        <sz val="7.5"/>
        <rFont val="Times New Roman"/>
        <family val="1"/>
      </rPr>
      <t xml:space="preserve">TCAT - Northwest </t>
    </r>
    <r>
      <rPr>
        <b/>
        <sz val="7.5"/>
        <rFont val="Times New Roman"/>
        <family val="1"/>
      </rPr>
      <t>(formerly Four Rivers)</t>
    </r>
  </si>
  <si>
    <r>
      <rPr>
        <sz val="7.5"/>
        <rFont val="Times New Roman"/>
        <family val="1"/>
      </rPr>
      <t xml:space="preserve">TCAT - Upper Cumberland </t>
    </r>
    <r>
      <rPr>
        <b/>
        <sz val="7.5"/>
        <rFont val="Times New Roman"/>
        <family val="1"/>
      </rPr>
      <t>(formerly TCAT - Crossville)</t>
    </r>
  </si>
  <si>
    <r>
      <rPr>
        <sz val="7.5"/>
        <rFont val="Times New Roman"/>
        <family val="1"/>
      </rPr>
      <t>TN Valley Reg. PN Program</t>
    </r>
  </si>
  <si>
    <r>
      <rPr>
        <sz val="7.5"/>
        <rFont val="Times New Roman"/>
        <family val="1"/>
      </rPr>
      <t>The Academy of Allied Health Careers</t>
    </r>
  </si>
  <si>
    <r>
      <rPr>
        <sz val="7.5"/>
        <rFont val="Times New Roman"/>
        <family val="1"/>
      </rPr>
      <t>The Healthcare Institute**</t>
    </r>
  </si>
  <si>
    <t>Region</t>
  </si>
  <si>
    <t>License Status</t>
  </si>
  <si>
    <t>County</t>
  </si>
  <si>
    <t>Campus in Nashville and Cookeville</t>
  </si>
  <si>
    <t>Campus in Nashville and Knoxville</t>
  </si>
  <si>
    <t>Believe this is "Hartsville, TN"</t>
  </si>
  <si>
    <t>Accreditation</t>
  </si>
  <si>
    <t>ACEN (Candidate)</t>
  </si>
  <si>
    <t>Classification</t>
  </si>
  <si>
    <t>U</t>
  </si>
  <si>
    <t>R</t>
  </si>
  <si>
    <t>School</t>
  </si>
  <si>
    <t>Row Labels</t>
  </si>
  <si>
    <t>Grand Total</t>
  </si>
  <si>
    <t>Sum of No.</t>
  </si>
  <si>
    <t>Sum of Pass</t>
  </si>
  <si>
    <t>Sum of No.2</t>
  </si>
  <si>
    <t>Sum of Pass2</t>
  </si>
  <si>
    <t>Sum of No.3</t>
  </si>
  <si>
    <t>Sum of Pass3</t>
  </si>
  <si>
    <t>Sum of No.4</t>
  </si>
  <si>
    <t>Sum of Pass4</t>
  </si>
  <si>
    <t>Sum of No.5</t>
  </si>
  <si>
    <t>Sum of Pass5</t>
  </si>
  <si>
    <t>Rural</t>
  </si>
  <si>
    <t>Urban</t>
  </si>
  <si>
    <t>Region 1</t>
  </si>
  <si>
    <t>Region 2</t>
  </si>
  <si>
    <t>Region 3</t>
  </si>
  <si>
    <t>Region 4</t>
  </si>
  <si>
    <t>Count of Classification</t>
  </si>
  <si>
    <t>County Number</t>
  </si>
  <si>
    <t>Anderson</t>
  </si>
  <si>
    <t>Bedford</t>
  </si>
  <si>
    <t>Benton</t>
  </si>
  <si>
    <t>Bledsoe</t>
  </si>
  <si>
    <t>Blount</t>
  </si>
  <si>
    <t>Bradley</t>
  </si>
  <si>
    <t>Campbell</t>
  </si>
  <si>
    <t>Cannon</t>
  </si>
  <si>
    <t>Carroll</t>
  </si>
  <si>
    <t>Carter</t>
  </si>
  <si>
    <t>Cheatham</t>
  </si>
  <si>
    <t>Chester</t>
  </si>
  <si>
    <t>Claiborne</t>
  </si>
  <si>
    <t>Clay</t>
  </si>
  <si>
    <t>Cocke</t>
  </si>
  <si>
    <t>Coffee</t>
  </si>
  <si>
    <t>Crockett</t>
  </si>
  <si>
    <t>Cumberland</t>
  </si>
  <si>
    <t>Davidson</t>
  </si>
  <si>
    <t>Decatur</t>
  </si>
  <si>
    <t>DeKalb</t>
  </si>
  <si>
    <t>Dickson</t>
  </si>
  <si>
    <t>Dyer</t>
  </si>
  <si>
    <t>Fayette</t>
  </si>
  <si>
    <t>Fentress</t>
  </si>
  <si>
    <t>Franklin</t>
  </si>
  <si>
    <t>Gibson</t>
  </si>
  <si>
    <t>Giles</t>
  </si>
  <si>
    <t>Grainger</t>
  </si>
  <si>
    <t>Greene</t>
  </si>
  <si>
    <t>Grundy</t>
  </si>
  <si>
    <t>Hamblen</t>
  </si>
  <si>
    <t>Hamilton</t>
  </si>
  <si>
    <t>Hancock</t>
  </si>
  <si>
    <t>Hardeman</t>
  </si>
  <si>
    <t>Hardin</t>
  </si>
  <si>
    <t>Hawkins</t>
  </si>
  <si>
    <t>Haywood</t>
  </si>
  <si>
    <t>Henderson</t>
  </si>
  <si>
    <t>Henry</t>
  </si>
  <si>
    <t>Hickman</t>
  </si>
  <si>
    <t>Houston</t>
  </si>
  <si>
    <t>Humphreys</t>
  </si>
  <si>
    <t>Jackson</t>
  </si>
  <si>
    <t>Jefferson</t>
  </si>
  <si>
    <t>Johnson</t>
  </si>
  <si>
    <t>Knox</t>
  </si>
  <si>
    <t>Lake</t>
  </si>
  <si>
    <t>Lauderdale</t>
  </si>
  <si>
    <t>Lawrence</t>
  </si>
  <si>
    <t>Lewis</t>
  </si>
  <si>
    <t>Lincoln</t>
  </si>
  <si>
    <t>Loudon</t>
  </si>
  <si>
    <t>Macon</t>
  </si>
  <si>
    <t>Madison</t>
  </si>
  <si>
    <t>Marion</t>
  </si>
  <si>
    <t>Marshall</t>
  </si>
  <si>
    <t>Maury</t>
  </si>
  <si>
    <t>McMinn</t>
  </si>
  <si>
    <t>McNairy</t>
  </si>
  <si>
    <t>Meigs</t>
  </si>
  <si>
    <t>Monroe</t>
  </si>
  <si>
    <t>Montgomery</t>
  </si>
  <si>
    <t>Moore</t>
  </si>
  <si>
    <t>Morgan</t>
  </si>
  <si>
    <t>Obion</t>
  </si>
  <si>
    <t>Overton</t>
  </si>
  <si>
    <t>Perry</t>
  </si>
  <si>
    <t>Pickett</t>
  </si>
  <si>
    <t>Polk</t>
  </si>
  <si>
    <t>Putnam</t>
  </si>
  <si>
    <t>Rhea</t>
  </si>
  <si>
    <t>Roane</t>
  </si>
  <si>
    <t>Robertson</t>
  </si>
  <si>
    <t>Rutherford</t>
  </si>
  <si>
    <t>Scott</t>
  </si>
  <si>
    <t>Sequatchie</t>
  </si>
  <si>
    <t>Sevier</t>
  </si>
  <si>
    <t>Shelby</t>
  </si>
  <si>
    <t>Smith</t>
  </si>
  <si>
    <t>Stewart</t>
  </si>
  <si>
    <t>Sullivan</t>
  </si>
  <si>
    <t>Sumner</t>
  </si>
  <si>
    <t>Tipton</t>
  </si>
  <si>
    <t>Trousdale</t>
  </si>
  <si>
    <t>Unicoi</t>
  </si>
  <si>
    <t>Union</t>
  </si>
  <si>
    <t>Van Buren</t>
  </si>
  <si>
    <t>Warren</t>
  </si>
  <si>
    <t>Washington</t>
  </si>
  <si>
    <t>Wayne</t>
  </si>
  <si>
    <t>Weakley</t>
  </si>
  <si>
    <t>White</t>
  </si>
  <si>
    <t>Williamson</t>
  </si>
  <si>
    <t>Wilson</t>
  </si>
  <si>
    <t>County Name</t>
  </si>
  <si>
    <t>Rutherford, TN</t>
  </si>
  <si>
    <t>Campbell, TN</t>
  </si>
  <si>
    <t>Hamilton, TN</t>
  </si>
  <si>
    <t>Davidson, TN</t>
  </si>
  <si>
    <t>Giles, TN</t>
  </si>
  <si>
    <t>Hardin, TN</t>
  </si>
  <si>
    <t>Dickson, TN</t>
  </si>
  <si>
    <t>Carter, TN</t>
  </si>
  <si>
    <t>Roane, TN</t>
  </si>
  <si>
    <t>Trousdale, TN</t>
  </si>
  <si>
    <t>Henry, TN</t>
  </si>
  <si>
    <t>Lewis, TN</t>
  </si>
  <si>
    <t>Knox, TN</t>
  </si>
  <si>
    <t>Overton, TN</t>
  </si>
  <si>
    <t>Shelby, TN</t>
  </si>
  <si>
    <t>Hamblen, TN</t>
  </si>
  <si>
    <t>Dyer, TN</t>
  </si>
  <si>
    <t>Cumberland, TN</t>
  </si>
  <si>
    <t>Bedford, TN</t>
  </si>
  <si>
    <t>Madison, TN</t>
  </si>
  <si>
    <t>McMinn, TN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</si>
</sst>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;[Red]0"/>
  </numFmts>
  <fonts count="12" x14ac:knownFonts="1">
    <font>
      <sz val="10"/>
      <color rgb="FF000000"/>
      <name val="Times New Roman"/>
      <charset val="204"/>
    </font>
    <font>
      <b/>
      <sz val="7.5"/>
      <name val="Times New Roman"/>
    </font>
    <font>
      <b/>
      <sz val="7.5"/>
      <color rgb="FF000000"/>
      <name val="Times New Roman"/>
      <family val="2"/>
    </font>
    <font>
      <sz val="7.5"/>
      <name val="Times New Roman"/>
    </font>
    <font>
      <sz val="7.5"/>
      <color rgb="FF000000"/>
      <name val="Times New Roman"/>
      <family val="2"/>
    </font>
    <font>
      <b/>
      <sz val="7.5"/>
      <color rgb="FFFF0000"/>
      <name val="Times New Roman"/>
      <family val="2"/>
    </font>
    <font>
      <b/>
      <sz val="7.5"/>
      <name val="Times New Roman"/>
      <family val="1"/>
    </font>
    <font>
      <sz val="7.5"/>
      <name val="Times New Roman"/>
      <family val="1"/>
    </font>
    <font>
      <sz val="10"/>
      <color rgb="FF000000"/>
      <name val="Times New Roman"/>
      <family val="1"/>
    </font>
    <font>
      <b/>
      <sz val="10"/>
      <color theme="1"/>
      <name val="Times New Roman"/>
      <family val="1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DDDDD"/>
      </patternFill>
    </fill>
    <fill>
      <patternFill patternType="solid">
        <fgColor rgb="FFDEDEDE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33">
    <xf numFmtId="0" fontId="0" fillId="0" borderId="0" xfId="0" applyAlignment="1">
      <alignment horizontal="left" vertical="top"/>
    </xf>
    <xf numFmtId="0" fontId="1" fillId="0" borderId="1" xfId="0" applyFont="1" applyBorder="1" applyAlignment="1">
      <alignment horizontal="center" vertical="top" wrapText="1"/>
    </xf>
    <xf numFmtId="0" fontId="1" fillId="0" borderId="4" xfId="0" applyFont="1" applyBorder="1" applyAlignment="1">
      <alignment horizontal="center" vertical="top" wrapText="1"/>
    </xf>
    <xf numFmtId="1" fontId="2" fillId="0" borderId="1" xfId="0" applyNumberFormat="1" applyFont="1" applyBorder="1" applyAlignment="1">
      <alignment horizontal="center" vertical="top" shrinkToFit="1"/>
    </xf>
    <xf numFmtId="0" fontId="3" fillId="0" borderId="1" xfId="0" applyFont="1" applyBorder="1" applyAlignment="1">
      <alignment horizontal="left" vertical="top" wrapText="1"/>
    </xf>
    <xf numFmtId="0" fontId="0" fillId="2" borderId="1" xfId="0" applyFill="1" applyBorder="1" applyAlignment="1">
      <alignment horizontal="left" wrapText="1"/>
    </xf>
    <xf numFmtId="1" fontId="4" fillId="0" borderId="1" xfId="0" applyNumberFormat="1" applyFont="1" applyBorder="1" applyAlignment="1">
      <alignment horizontal="center" vertical="top" shrinkToFit="1"/>
    </xf>
    <xf numFmtId="0" fontId="0" fillId="0" borderId="1" xfId="0" applyBorder="1" applyAlignment="1">
      <alignment horizontal="left" wrapText="1"/>
    </xf>
    <xf numFmtId="0" fontId="0" fillId="3" borderId="1" xfId="0" applyFill="1" applyBorder="1" applyAlignment="1">
      <alignment horizontal="left" wrapText="1"/>
    </xf>
    <xf numFmtId="0" fontId="0" fillId="0" borderId="1" xfId="0" applyBorder="1" applyAlignment="1">
      <alignment horizontal="left" vertical="top" wrapText="1"/>
    </xf>
    <xf numFmtId="0" fontId="3" fillId="0" borderId="1" xfId="0" applyFont="1" applyBorder="1" applyAlignment="1">
      <alignment horizontal="center" vertical="top" wrapText="1"/>
    </xf>
    <xf numFmtId="0" fontId="6" fillId="0" borderId="4" xfId="0" applyFont="1" applyBorder="1" applyAlignment="1">
      <alignment horizontal="center" vertical="top" wrapText="1"/>
    </xf>
    <xf numFmtId="0" fontId="0" fillId="0" borderId="1" xfId="0" applyBorder="1" applyAlignment="1">
      <alignment horizontal="center" vertical="top" wrapText="1"/>
    </xf>
    <xf numFmtId="1" fontId="2" fillId="0" borderId="2" xfId="0" applyNumberFormat="1" applyFont="1" applyBorder="1" applyAlignment="1">
      <alignment horizontal="center" vertical="top" shrinkToFit="1"/>
    </xf>
    <xf numFmtId="0" fontId="0" fillId="3" borderId="2" xfId="0" applyFill="1" applyBorder="1" applyAlignment="1">
      <alignment horizontal="left" wrapText="1"/>
    </xf>
    <xf numFmtId="0" fontId="1" fillId="0" borderId="2" xfId="0" applyFont="1" applyBorder="1" applyAlignment="1">
      <alignment horizontal="center" vertical="top" wrapText="1"/>
    </xf>
    <xf numFmtId="164" fontId="5" fillId="0" borderId="2" xfId="0" applyNumberFormat="1" applyFont="1" applyBorder="1" applyAlignment="1">
      <alignment horizontal="center" vertical="top" shrinkToFit="1"/>
    </xf>
    <xf numFmtId="0" fontId="0" fillId="0" borderId="5" xfId="0" applyBorder="1" applyAlignment="1">
      <alignment horizontal="left" vertical="top"/>
    </xf>
    <xf numFmtId="0" fontId="8" fillId="0" borderId="5" xfId="0" applyFont="1" applyBorder="1" applyAlignment="1">
      <alignment horizontal="left" vertical="top"/>
    </xf>
    <xf numFmtId="0" fontId="8" fillId="0" borderId="1" xfId="0" applyFont="1" applyBorder="1" applyAlignment="1">
      <alignment horizontal="center" vertical="top" wrapText="1"/>
    </xf>
    <xf numFmtId="0" fontId="7" fillId="0" borderId="1" xfId="0" applyFont="1" applyBorder="1" applyAlignment="1">
      <alignment horizontal="center" vertical="top" wrapText="1"/>
    </xf>
    <xf numFmtId="0" fontId="0" fillId="0" borderId="0" xfId="0" pivotButton="1" applyAlignment="1">
      <alignment horizontal="left" vertical="top"/>
    </xf>
    <xf numFmtId="10" fontId="0" fillId="0" borderId="0" xfId="0" applyNumberFormat="1" applyAlignment="1">
      <alignment horizontal="left" vertical="top"/>
    </xf>
    <xf numFmtId="0" fontId="0" fillId="0" borderId="0" xfId="0" applyAlignment="1">
      <alignment horizontal="left" vertical="top" indent="1"/>
    </xf>
    <xf numFmtId="0" fontId="9" fillId="4" borderId="6" xfId="0" applyFont="1" applyFill="1" applyBorder="1"/>
    <xf numFmtId="0" fontId="8" fillId="0" borderId="0" xfId="0" applyFont="1" applyAlignment="1">
      <alignment horizontal="left" vertical="top" indent="1"/>
    </xf>
    <xf numFmtId="0" fontId="10" fillId="5" borderId="5" xfId="0" applyFont="1" applyFill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/>
    <xf numFmtId="0" fontId="0" fillId="0" borderId="0" xfId="0"/>
    <xf numFmtId="0" fontId="11" fillId="0" borderId="0" xfId="1"/>
    <xf numFmtId="0" fontId="0" fillId="3" borderId="2" xfId="0" applyFill="1" applyBorder="1" applyAlignment="1">
      <alignment horizontal="left" wrapText="1"/>
    </xf>
    <xf numFmtId="0" fontId="0" fillId="3" borderId="3" xfId="0" applyFill="1" applyBorder="1" applyAlignment="1">
      <alignment horizontal="left" wrapText="1"/>
    </xf>
  </cellXfs>
  <cellStyles count="2">
    <cellStyle name="Hyperlink" xfId="1" builtinId="8"/>
    <cellStyle name="Normal" xfId="0" builtinId="0"/>
  </cellStyles>
  <dxfs count="2">
    <dxf>
      <numFmt numFmtId="0" formatCode="General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  <fill>
        <patternFill patternType="solid">
          <fgColor indexed="64"/>
          <bgColor theme="8" tint="0.59999389629810485"/>
        </patternFill>
      </fill>
      <alignment horizontal="center" vertical="bottom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800" b="1" i="0" baseline="0">
                <a:effectLst/>
              </a:rPr>
              <a:t>Rural/Urban NCLEX Pass Rate by Region in Tennessee - 2020</a:t>
            </a:r>
          </a:p>
        </c:rich>
      </c:tx>
      <c:layout>
        <c:manualLayout>
          <c:xMode val="edge"/>
          <c:yMode val="edge"/>
          <c:x val="0.13122332859174965"/>
          <c:y val="2.90577002905770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Region!$E$20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chemeClr val="accent1">
                <a:lumMod val="75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DC0F-491B-90DA-795D034D5B1A}"/>
              </c:ext>
            </c:extLst>
          </c:dPt>
          <c:dPt>
            <c:idx val="2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DC0F-491B-90DA-795D034D5B1A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DC0F-491B-90DA-795D034D5B1A}"/>
              </c:ext>
            </c:extLst>
          </c:dPt>
          <c:dPt>
            <c:idx val="6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DC0F-491B-90DA-795D034D5B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Region!$A$21:$B$28</c:f>
              <c:multiLvlStrCache>
                <c:ptCount val="8"/>
                <c:lvl>
                  <c:pt idx="0">
                    <c:v>Rural</c:v>
                  </c:pt>
                  <c:pt idx="1">
                    <c:v>Urban</c:v>
                  </c:pt>
                  <c:pt idx="2">
                    <c:v>Rural</c:v>
                  </c:pt>
                  <c:pt idx="3">
                    <c:v>Urban</c:v>
                  </c:pt>
                  <c:pt idx="4">
                    <c:v>Rural</c:v>
                  </c:pt>
                  <c:pt idx="5">
                    <c:v>Urban</c:v>
                  </c:pt>
                  <c:pt idx="6">
                    <c:v>Rural</c:v>
                  </c:pt>
                  <c:pt idx="7">
                    <c:v>Urban</c:v>
                  </c:pt>
                </c:lvl>
                <c:lvl>
                  <c:pt idx="0">
                    <c:v>Region 1</c:v>
                  </c:pt>
                  <c:pt idx="2">
                    <c:v>Region 2</c:v>
                  </c:pt>
                  <c:pt idx="4">
                    <c:v>Region 3</c:v>
                  </c:pt>
                  <c:pt idx="6">
                    <c:v>Region 4</c:v>
                  </c:pt>
                </c:lvl>
              </c:multiLvlStrCache>
            </c:multiLvlStrRef>
          </c:cat>
          <c:val>
            <c:numRef>
              <c:f>Region!$E$21:$E$28</c:f>
              <c:numCache>
                <c:formatCode>0.00%</c:formatCode>
                <c:ptCount val="8"/>
                <c:pt idx="0">
                  <c:v>0.94326241134751776</c:v>
                </c:pt>
                <c:pt idx="1">
                  <c:v>0.89552238805970152</c:v>
                </c:pt>
                <c:pt idx="2">
                  <c:v>0.93630573248407645</c:v>
                </c:pt>
                <c:pt idx="3">
                  <c:v>0.91836734693877553</c:v>
                </c:pt>
                <c:pt idx="4">
                  <c:v>0.87577639751552794</c:v>
                </c:pt>
                <c:pt idx="5">
                  <c:v>0.88014981273408244</c:v>
                </c:pt>
                <c:pt idx="6">
                  <c:v>0.84768211920529801</c:v>
                </c:pt>
                <c:pt idx="7">
                  <c:v>0.7448275862068966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C0F-491B-90DA-795D034D5B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50"/>
        <c:axId val="942860527"/>
        <c:axId val="942858447"/>
      </c:barChart>
      <c:catAx>
        <c:axId val="9428605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2858447"/>
        <c:crosses val="autoZero"/>
        <c:auto val="1"/>
        <c:lblAlgn val="ctr"/>
        <c:lblOffset val="100"/>
        <c:noMultiLvlLbl val="0"/>
      </c:catAx>
      <c:valAx>
        <c:axId val="942858447"/>
        <c:scaling>
          <c:orientation val="minMax"/>
          <c:min val="0.7000000000000000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28605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800" b="1" i="0" baseline="0">
                <a:effectLst/>
              </a:rPr>
              <a:t>Rural/Urban NCLEX Pass Rate by Region in Tennessee - </a:t>
            </a:r>
            <a:r>
              <a:rPr lang="en-US"/>
              <a:t>2021</a:t>
            </a:r>
          </a:p>
        </c:rich>
      </c:tx>
      <c:layout>
        <c:manualLayout>
          <c:xMode val="edge"/>
          <c:yMode val="edge"/>
          <c:x val="0.15880555555555556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Region!$H$20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chemeClr val="accent1">
                <a:lumMod val="75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9875-42D8-8A3A-32394DA765EB}"/>
              </c:ext>
            </c:extLst>
          </c:dPt>
          <c:dPt>
            <c:idx val="2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9875-42D8-8A3A-32394DA765EB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9875-42D8-8A3A-32394DA765EB}"/>
              </c:ext>
            </c:extLst>
          </c:dPt>
          <c:dPt>
            <c:idx val="6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9875-42D8-8A3A-32394DA765E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Region!$A$21:$B$28</c:f>
              <c:multiLvlStrCache>
                <c:ptCount val="8"/>
                <c:lvl>
                  <c:pt idx="0">
                    <c:v>Rural</c:v>
                  </c:pt>
                  <c:pt idx="1">
                    <c:v>Urban</c:v>
                  </c:pt>
                  <c:pt idx="2">
                    <c:v>Rural</c:v>
                  </c:pt>
                  <c:pt idx="3">
                    <c:v>Urban</c:v>
                  </c:pt>
                  <c:pt idx="4">
                    <c:v>Rural</c:v>
                  </c:pt>
                  <c:pt idx="5">
                    <c:v>Urban</c:v>
                  </c:pt>
                  <c:pt idx="6">
                    <c:v>Rural</c:v>
                  </c:pt>
                  <c:pt idx="7">
                    <c:v>Urban</c:v>
                  </c:pt>
                </c:lvl>
                <c:lvl>
                  <c:pt idx="0">
                    <c:v>Region 1</c:v>
                  </c:pt>
                  <c:pt idx="2">
                    <c:v>Region 2</c:v>
                  </c:pt>
                  <c:pt idx="4">
                    <c:v>Region 3</c:v>
                  </c:pt>
                  <c:pt idx="6">
                    <c:v>Region 4</c:v>
                  </c:pt>
                </c:lvl>
              </c:multiLvlStrCache>
            </c:multiLvlStrRef>
          </c:cat>
          <c:val>
            <c:numRef>
              <c:f>Region!$H$21:$H$28</c:f>
              <c:numCache>
                <c:formatCode>0.00%</c:formatCode>
                <c:ptCount val="8"/>
                <c:pt idx="0">
                  <c:v>0.8721804511278195</c:v>
                </c:pt>
                <c:pt idx="1">
                  <c:v>0.8586387434554974</c:v>
                </c:pt>
                <c:pt idx="2">
                  <c:v>0.8721804511278195</c:v>
                </c:pt>
                <c:pt idx="3">
                  <c:v>0.80392156862745101</c:v>
                </c:pt>
                <c:pt idx="4">
                  <c:v>0.91333333333333333</c:v>
                </c:pt>
                <c:pt idx="5">
                  <c:v>0.88291139240506333</c:v>
                </c:pt>
                <c:pt idx="6">
                  <c:v>0.81868131868131866</c:v>
                </c:pt>
                <c:pt idx="7">
                  <c:v>0.81645569620253167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75-42D8-8A3A-32394DA765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50"/>
        <c:axId val="942860943"/>
        <c:axId val="942861775"/>
      </c:barChart>
      <c:catAx>
        <c:axId val="9428609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2861775"/>
        <c:crosses val="autoZero"/>
        <c:auto val="1"/>
        <c:lblAlgn val="ctr"/>
        <c:lblOffset val="100"/>
        <c:noMultiLvlLbl val="0"/>
      </c:catAx>
      <c:valAx>
        <c:axId val="942861775"/>
        <c:scaling>
          <c:orientation val="minMax"/>
          <c:max val="1"/>
          <c:min val="0.7000000000000000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28609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800" b="1" i="0" baseline="0">
                <a:effectLst/>
              </a:rPr>
              <a:t>Rural/Urban NCLEX Pass Rate by Region in Tennessee - </a:t>
            </a:r>
            <a:r>
              <a:rPr lang="en-US"/>
              <a:t>2022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Region!$K$20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chemeClr val="accent1">
                <a:lumMod val="75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D405-48A4-9B76-129E8FDCDCA2}"/>
              </c:ext>
            </c:extLst>
          </c:dPt>
          <c:dPt>
            <c:idx val="2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D405-48A4-9B76-129E8FDCDCA2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D405-48A4-9B76-129E8FDCDCA2}"/>
              </c:ext>
            </c:extLst>
          </c:dPt>
          <c:dPt>
            <c:idx val="6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D405-48A4-9B76-129E8FDCDCA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Region!$A$21:$B$28</c:f>
              <c:multiLvlStrCache>
                <c:ptCount val="8"/>
                <c:lvl>
                  <c:pt idx="0">
                    <c:v>Rural</c:v>
                  </c:pt>
                  <c:pt idx="1">
                    <c:v>Urban</c:v>
                  </c:pt>
                  <c:pt idx="2">
                    <c:v>Rural</c:v>
                  </c:pt>
                  <c:pt idx="3">
                    <c:v>Urban</c:v>
                  </c:pt>
                  <c:pt idx="4">
                    <c:v>Rural</c:v>
                  </c:pt>
                  <c:pt idx="5">
                    <c:v>Urban</c:v>
                  </c:pt>
                  <c:pt idx="6">
                    <c:v>Rural</c:v>
                  </c:pt>
                  <c:pt idx="7">
                    <c:v>Urban</c:v>
                  </c:pt>
                </c:lvl>
                <c:lvl>
                  <c:pt idx="0">
                    <c:v>Region 1</c:v>
                  </c:pt>
                  <c:pt idx="2">
                    <c:v>Region 2</c:v>
                  </c:pt>
                  <c:pt idx="4">
                    <c:v>Region 3</c:v>
                  </c:pt>
                  <c:pt idx="6">
                    <c:v>Region 4</c:v>
                  </c:pt>
                </c:lvl>
              </c:multiLvlStrCache>
            </c:multiLvlStrRef>
          </c:cat>
          <c:val>
            <c:numRef>
              <c:f>Region!$K$21:$K$28</c:f>
              <c:numCache>
                <c:formatCode>0.00%</c:formatCode>
                <c:ptCount val="8"/>
                <c:pt idx="0">
                  <c:v>0.80246913580246915</c:v>
                </c:pt>
                <c:pt idx="1">
                  <c:v>0.86802030456852797</c:v>
                </c:pt>
                <c:pt idx="2">
                  <c:v>0.87878787878787878</c:v>
                </c:pt>
                <c:pt idx="3">
                  <c:v>0.9152542372881356</c:v>
                </c:pt>
                <c:pt idx="4">
                  <c:v>0.84210526315789469</c:v>
                </c:pt>
                <c:pt idx="5">
                  <c:v>0.8994413407821229</c:v>
                </c:pt>
                <c:pt idx="6">
                  <c:v>0.75641025641025639</c:v>
                </c:pt>
                <c:pt idx="7">
                  <c:v>0.84967320261437906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405-48A4-9B76-129E8FDCDC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50"/>
        <c:axId val="632314159"/>
        <c:axId val="632334959"/>
      </c:barChart>
      <c:catAx>
        <c:axId val="6323141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2334959"/>
        <c:crosses val="autoZero"/>
        <c:auto val="1"/>
        <c:lblAlgn val="ctr"/>
        <c:lblOffset val="100"/>
        <c:noMultiLvlLbl val="0"/>
      </c:catAx>
      <c:valAx>
        <c:axId val="632334959"/>
        <c:scaling>
          <c:orientation val="minMax"/>
          <c:max val="1"/>
          <c:min val="0.7000000000000000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23141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800" b="1" i="0" baseline="0">
                <a:effectLst/>
              </a:rPr>
              <a:t>Rural/Urban NCLEX Pass Rate by Region in Tennessee - </a:t>
            </a:r>
            <a:r>
              <a:rPr lang="en-US"/>
              <a:t>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Region!$N$20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chemeClr val="accent1">
                <a:lumMod val="75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7DD9-4F2D-857A-70F1C1A9127C}"/>
              </c:ext>
            </c:extLst>
          </c:dPt>
          <c:dPt>
            <c:idx val="2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7DD9-4F2D-857A-70F1C1A9127C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7DD9-4F2D-857A-70F1C1A9127C}"/>
              </c:ext>
            </c:extLst>
          </c:dPt>
          <c:dPt>
            <c:idx val="6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7DD9-4F2D-857A-70F1C1A9127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Region!$A$21:$B$28</c:f>
              <c:multiLvlStrCache>
                <c:ptCount val="8"/>
                <c:lvl>
                  <c:pt idx="0">
                    <c:v>Rural</c:v>
                  </c:pt>
                  <c:pt idx="1">
                    <c:v>Urban</c:v>
                  </c:pt>
                  <c:pt idx="2">
                    <c:v>Rural</c:v>
                  </c:pt>
                  <c:pt idx="3">
                    <c:v>Urban</c:v>
                  </c:pt>
                  <c:pt idx="4">
                    <c:v>Rural</c:v>
                  </c:pt>
                  <c:pt idx="5">
                    <c:v>Urban</c:v>
                  </c:pt>
                  <c:pt idx="6">
                    <c:v>Rural</c:v>
                  </c:pt>
                  <c:pt idx="7">
                    <c:v>Urban</c:v>
                  </c:pt>
                </c:lvl>
                <c:lvl>
                  <c:pt idx="0">
                    <c:v>Region 1</c:v>
                  </c:pt>
                  <c:pt idx="2">
                    <c:v>Region 2</c:v>
                  </c:pt>
                  <c:pt idx="4">
                    <c:v>Region 3</c:v>
                  </c:pt>
                  <c:pt idx="6">
                    <c:v>Region 4</c:v>
                  </c:pt>
                </c:lvl>
              </c:multiLvlStrCache>
            </c:multiLvlStrRef>
          </c:cat>
          <c:val>
            <c:numRef>
              <c:f>Region!$N$21:$N$28</c:f>
              <c:numCache>
                <c:formatCode>0.00%</c:formatCode>
                <c:ptCount val="8"/>
                <c:pt idx="0">
                  <c:v>0.87962962962962965</c:v>
                </c:pt>
                <c:pt idx="1">
                  <c:v>0.95205479452054798</c:v>
                </c:pt>
                <c:pt idx="2">
                  <c:v>0.90140845070422537</c:v>
                </c:pt>
                <c:pt idx="3">
                  <c:v>0.8666666666666667</c:v>
                </c:pt>
                <c:pt idx="4">
                  <c:v>0.8875739644970414</c:v>
                </c:pt>
                <c:pt idx="5">
                  <c:v>0.90942028985507251</c:v>
                </c:pt>
                <c:pt idx="6">
                  <c:v>0.86567164179104472</c:v>
                </c:pt>
                <c:pt idx="7">
                  <c:v>0.93478260869565222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D9-4F2D-857A-70F1C1A912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50"/>
        <c:axId val="534682271"/>
        <c:axId val="534678943"/>
      </c:barChart>
      <c:catAx>
        <c:axId val="5346822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4678943"/>
        <c:crosses val="autoZero"/>
        <c:auto val="1"/>
        <c:lblAlgn val="ctr"/>
        <c:lblOffset val="100"/>
        <c:noMultiLvlLbl val="0"/>
      </c:catAx>
      <c:valAx>
        <c:axId val="534678943"/>
        <c:scaling>
          <c:orientation val="minMax"/>
          <c:min val="0.7000000000000000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46822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1" i="0" baseline="0">
                <a:effectLst/>
              </a:rPr>
              <a:t>Rural/Urban NCLEX Pass Rate by Region in Tennessee - 2024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Region!$Q$20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chemeClr val="accent1">
                <a:lumMod val="75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11FD-4BC7-A29E-9AE2177BAC31}"/>
              </c:ext>
            </c:extLst>
          </c:dPt>
          <c:dPt>
            <c:idx val="2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11FD-4BC7-A29E-9AE2177BAC31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11FD-4BC7-A29E-9AE2177BAC31}"/>
              </c:ext>
            </c:extLst>
          </c:dPt>
          <c:dPt>
            <c:idx val="6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11FD-4BC7-A29E-9AE2177BAC3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Region!$A$21:$B$28</c:f>
              <c:multiLvlStrCache>
                <c:ptCount val="8"/>
                <c:lvl>
                  <c:pt idx="0">
                    <c:v>Rural</c:v>
                  </c:pt>
                  <c:pt idx="1">
                    <c:v>Urban</c:v>
                  </c:pt>
                  <c:pt idx="2">
                    <c:v>Rural</c:v>
                  </c:pt>
                  <c:pt idx="3">
                    <c:v>Urban</c:v>
                  </c:pt>
                  <c:pt idx="4">
                    <c:v>Rural</c:v>
                  </c:pt>
                  <c:pt idx="5">
                    <c:v>Urban</c:v>
                  </c:pt>
                  <c:pt idx="6">
                    <c:v>Rural</c:v>
                  </c:pt>
                  <c:pt idx="7">
                    <c:v>Urban</c:v>
                  </c:pt>
                </c:lvl>
                <c:lvl>
                  <c:pt idx="0">
                    <c:v>Region 1</c:v>
                  </c:pt>
                  <c:pt idx="2">
                    <c:v>Region 2</c:v>
                  </c:pt>
                  <c:pt idx="4">
                    <c:v>Region 3</c:v>
                  </c:pt>
                  <c:pt idx="6">
                    <c:v>Region 4</c:v>
                  </c:pt>
                </c:lvl>
              </c:multiLvlStrCache>
            </c:multiLvlStrRef>
          </c:cat>
          <c:val>
            <c:numRef>
              <c:f>Region!$Q$21:$Q$28</c:f>
              <c:numCache>
                <c:formatCode>0.00%</c:formatCode>
                <c:ptCount val="8"/>
                <c:pt idx="0">
                  <c:v>0.93661971830985913</c:v>
                </c:pt>
                <c:pt idx="1">
                  <c:v>0.97633136094674555</c:v>
                </c:pt>
                <c:pt idx="2">
                  <c:v>0.90123456790123457</c:v>
                </c:pt>
                <c:pt idx="3">
                  <c:v>0.80882352941176472</c:v>
                </c:pt>
                <c:pt idx="4">
                  <c:v>0.95419847328244278</c:v>
                </c:pt>
                <c:pt idx="5">
                  <c:v>0.94573643410852715</c:v>
                </c:pt>
                <c:pt idx="6">
                  <c:v>0.9</c:v>
                </c:pt>
                <c:pt idx="7">
                  <c:v>0.90209790209790208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FD-4BC7-A29E-9AE2177BAC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50"/>
        <c:axId val="632339535"/>
        <c:axId val="632333711"/>
      </c:barChart>
      <c:catAx>
        <c:axId val="6323395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2333711"/>
        <c:crosses val="autoZero"/>
        <c:auto val="1"/>
        <c:lblAlgn val="ctr"/>
        <c:lblOffset val="100"/>
        <c:noMultiLvlLbl val="0"/>
      </c:catAx>
      <c:valAx>
        <c:axId val="632333711"/>
        <c:scaling>
          <c:orientation val="minMax"/>
          <c:min val="0.7000000000000000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23395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1" i="0" baseline="0">
                <a:effectLst/>
              </a:rPr>
              <a:t>Rural/Urban NCLEX Pass Rate in Tennessee</a:t>
            </a:r>
          </a:p>
          <a:p>
            <a:pPr>
              <a:defRPr/>
            </a:pPr>
            <a:r>
              <a:rPr lang="en-US" sz="1800" b="1" i="0" baseline="0">
                <a:effectLst/>
              </a:rPr>
              <a:t>2020-2024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TN!$M$3</c:f>
              <c:strCache>
                <c:ptCount val="1"/>
                <c:pt idx="0">
                  <c:v>Rural</c:v>
                </c:pt>
              </c:strCache>
            </c:strRef>
          </c:tx>
          <c:spPr>
            <a:solidFill>
              <a:schemeClr val="accent1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(TN!$P$2,TN!$S$2,TN!$V$2,TN!$Y$2,TN!$AB$2)</c:f>
              <c:numCache>
                <c:formatCode>General</c:formatCode>
                <c:ptCount val="5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</c:numCache>
            </c:numRef>
          </c:cat>
          <c:val>
            <c:numRef>
              <c:f>(TN!$P$3,TN!$S$3,TN!$V$3,TN!$Y$3,TN!$AB$3)</c:f>
              <c:numCache>
                <c:formatCode>0.00%</c:formatCode>
                <c:ptCount val="5"/>
                <c:pt idx="0">
                  <c:v>0.9</c:v>
                </c:pt>
                <c:pt idx="1">
                  <c:v>0.86622073578595316</c:v>
                </c:pt>
                <c:pt idx="2">
                  <c:v>0.81727574750830567</c:v>
                </c:pt>
                <c:pt idx="3">
                  <c:v>0.88426763110307416</c:v>
                </c:pt>
                <c:pt idx="4">
                  <c:v>0.92252252252252254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D3D-4A4E-9474-3D3EC719BBC4}"/>
            </c:ext>
          </c:extLst>
        </c:ser>
        <c:ser>
          <c:idx val="1"/>
          <c:order val="1"/>
          <c:tx>
            <c:strRef>
              <c:f>TN!$M$4</c:f>
              <c:strCache>
                <c:ptCount val="1"/>
                <c:pt idx="0">
                  <c:v>Urban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(TN!$P$2,TN!$S$2,TN!$V$2,TN!$Y$2,TN!$AB$2)</c:f>
              <c:numCache>
                <c:formatCode>General</c:formatCode>
                <c:ptCount val="5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</c:numCache>
            </c:numRef>
          </c:cat>
          <c:val>
            <c:numRef>
              <c:f>(TN!$P$4,TN!$S$4,TN!$V$4,TN!$Y$4,TN!$AB$4)</c:f>
              <c:numCache>
                <c:formatCode>0.00%</c:formatCode>
                <c:ptCount val="5"/>
                <c:pt idx="0">
                  <c:v>0.85800604229607247</c:v>
                </c:pt>
                <c:pt idx="1">
                  <c:v>0.8561452513966481</c:v>
                </c:pt>
                <c:pt idx="2">
                  <c:v>0.8826597131681877</c:v>
                </c:pt>
                <c:pt idx="3">
                  <c:v>0.91846153846153844</c:v>
                </c:pt>
                <c:pt idx="4">
                  <c:v>0.9178470254957507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D3D-4A4E-9474-3D3EC719BB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3"/>
        <c:overlap val="-4"/>
        <c:axId val="492932239"/>
        <c:axId val="492933071"/>
      </c:barChart>
      <c:catAx>
        <c:axId val="4929322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933071"/>
        <c:crosses val="autoZero"/>
        <c:auto val="1"/>
        <c:lblAlgn val="ctr"/>
        <c:lblOffset val="100"/>
        <c:noMultiLvlLbl val="0"/>
      </c:catAx>
      <c:valAx>
        <c:axId val="492933071"/>
        <c:scaling>
          <c:orientation val="minMax"/>
          <c:max val="1"/>
          <c:min val="0.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92932239"/>
        <c:crosses val="autoZero"/>
        <c:crossBetween val="between"/>
        <c:majorUnit val="2.0000000000000004E-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411480</xdr:colOff>
      <xdr:row>34</xdr:row>
      <xdr:rowOff>83820</xdr:rowOff>
    </xdr:from>
    <xdr:to>
      <xdr:col>7</xdr:col>
      <xdr:colOff>403860</xdr:colOff>
      <xdr:row>52</xdr:row>
      <xdr:rowOff>125730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68F6427-7F29-4A8D-B295-3EE8D684C7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510540</xdr:colOff>
      <xdr:row>34</xdr:row>
      <xdr:rowOff>118110</xdr:rowOff>
    </xdr:from>
    <xdr:to>
      <xdr:col>7</xdr:col>
      <xdr:colOff>601980</xdr:colOff>
      <xdr:row>51</xdr:row>
      <xdr:rowOff>11430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D67CECC-C254-44AB-961F-DD808BEB12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373380</xdr:colOff>
      <xdr:row>34</xdr:row>
      <xdr:rowOff>110490</xdr:rowOff>
    </xdr:from>
    <xdr:to>
      <xdr:col>9</xdr:col>
      <xdr:colOff>327660</xdr:colOff>
      <xdr:row>51</xdr:row>
      <xdr:rowOff>3810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9D1B369-2F2E-4607-A173-CC8D2E0B5F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83820</xdr:colOff>
      <xdr:row>33</xdr:row>
      <xdr:rowOff>102870</xdr:rowOff>
    </xdr:from>
    <xdr:to>
      <xdr:col>10</xdr:col>
      <xdr:colOff>38100</xdr:colOff>
      <xdr:row>49</xdr:row>
      <xdr:rowOff>163830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E7128EA-3CC2-4526-8E75-B074CB65E7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670560</xdr:colOff>
      <xdr:row>20</xdr:row>
      <xdr:rowOff>156210</xdr:rowOff>
    </xdr:from>
    <xdr:to>
      <xdr:col>14</xdr:col>
      <xdr:colOff>274320</xdr:colOff>
      <xdr:row>40</xdr:row>
      <xdr:rowOff>114300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D7637976-721D-4729-B595-A65532A848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693420</xdr:colOff>
      <xdr:row>6</xdr:row>
      <xdr:rowOff>152400</xdr:rowOff>
    </xdr:from>
    <xdr:to>
      <xdr:col>21</xdr:col>
      <xdr:colOff>281940</xdr:colOff>
      <xdr:row>25</xdr:row>
      <xdr:rowOff>80010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3F3534A-2A8B-45FF-984B-391C344936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4572</xdr:colOff>
      <xdr:row>29</xdr:row>
      <xdr:rowOff>0</xdr:rowOff>
    </xdr:from>
    <xdr:ext cx="6595872" cy="74688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6595872" cy="74688"/>
        </a:xfrm>
        <a:prstGeom prst="rect">
          <a:avLst/>
        </a:prstGeom>
      </xdr:spPr>
    </xdr:pic>
    <xdr:clientData/>
  </xdr:one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o, Yan" refreshedDate="45898.43316226852" createdVersion="7" refreshedVersion="7" minRefreshableVersion="3" recordCount="28" xr:uid="{6607D9E5-2257-4F6D-8DBC-C714C0ED7DD4}">
  <cacheSource type="worksheet">
    <worksheetSource ref="A1:U29" sheet="Table 1"/>
  </cacheSource>
  <cacheFields count="21">
    <cacheField name="School" numFmtId="0">
      <sharedItems/>
    </cacheField>
    <cacheField name="Region" numFmtId="0">
      <sharedItems containsSemiMixedTypes="0" containsString="0" containsNumber="1" containsInteger="1" minValue="1" maxValue="4" count="4">
        <n v="3"/>
        <n v="1"/>
        <n v="2"/>
        <n v="4"/>
      </sharedItems>
    </cacheField>
    <cacheField name="County" numFmtId="0">
      <sharedItems containsSemiMixedTypes="0" containsString="0" containsNumber="1" containsInteger="1" minValue="2" maxValue="85"/>
    </cacheField>
    <cacheField name="Classification" numFmtId="0">
      <sharedItems count="2">
        <s v="U"/>
        <s v="R"/>
      </sharedItems>
    </cacheField>
    <cacheField name="Accreditation" numFmtId="0">
      <sharedItems containsBlank="1"/>
    </cacheField>
    <cacheField name="License Status" numFmtId="0">
      <sharedItems containsNonDate="0" containsString="0" containsBlank="1"/>
    </cacheField>
    <cacheField name="No." numFmtId="0">
      <sharedItems containsString="0" containsBlank="1" containsNumber="1" containsInteger="1" minValue="3" maxValue="118"/>
    </cacheField>
    <cacheField name="Pass" numFmtId="0">
      <sharedItems containsString="0" containsBlank="1" containsNumber="1" containsInteger="1" minValue="3" maxValue="111"/>
    </cacheField>
    <cacheField name="% Pass" numFmtId="0">
      <sharedItems containsString="0" containsBlank="1" containsNumber="1" containsInteger="1" minValue="76" maxValue="100"/>
    </cacheField>
    <cacheField name="No.2" numFmtId="0">
      <sharedItems containsString="0" containsBlank="1" containsNumber="1" containsInteger="1" minValue="11" maxValue="128"/>
    </cacheField>
    <cacheField name="Pass2" numFmtId="0">
      <sharedItems containsString="0" containsBlank="1" containsNumber="1" containsInteger="1" minValue="7" maxValue="105"/>
    </cacheField>
    <cacheField name="% Pass2" numFmtId="0">
      <sharedItems containsString="0" containsBlank="1" containsNumber="1" containsInteger="1" minValue="50" maxValue="97"/>
    </cacheField>
    <cacheField name="No.3" numFmtId="0">
      <sharedItems containsString="0" containsBlank="1" containsNumber="1" containsInteger="1" minValue="13" maxValue="120"/>
    </cacheField>
    <cacheField name="Pass3" numFmtId="0">
      <sharedItems containsString="0" containsBlank="1" containsNumber="1" containsInteger="1" minValue="7" maxValue="109"/>
    </cacheField>
    <cacheField name="% Pass3" numFmtId="0">
      <sharedItems containsString="0" containsBlank="1" containsNumber="1" containsInteger="1" minValue="54" maxValue="97"/>
    </cacheField>
    <cacheField name="No.4" numFmtId="0">
      <sharedItems containsString="0" containsBlank="1" containsNumber="1" containsInteger="1" minValue="2" maxValue="92"/>
    </cacheField>
    <cacheField name="Pass4" numFmtId="0">
      <sharedItems containsString="0" containsBlank="1" containsNumber="1" containsInteger="1" minValue="2" maxValue="89"/>
    </cacheField>
    <cacheField name="% Pass4" numFmtId="0">
      <sharedItems containsString="0" containsBlank="1" containsNumber="1" containsInteger="1" minValue="58" maxValue="100"/>
    </cacheField>
    <cacheField name="No.5" numFmtId="0">
      <sharedItems containsString="0" containsBlank="1" containsNumber="1" containsInteger="1" minValue="3" maxValue="102"/>
    </cacheField>
    <cacheField name="Pass5" numFmtId="0">
      <sharedItems containsString="0" containsBlank="1" containsNumber="1" containsInteger="1" minValue="3" maxValue="98"/>
    </cacheField>
    <cacheField name="% Pass5" numFmtId="0">
      <sharedItems containsString="0" containsBlank="1" containsNumber="1" containsInteger="1" minValue="55" maxValue="1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s v="Allied Health Careers Institute***"/>
    <x v="0"/>
    <n v="75"/>
    <x v="0"/>
    <m/>
    <m/>
    <m/>
    <m/>
    <m/>
    <n v="11"/>
    <n v="7"/>
    <n v="64"/>
    <n v="33"/>
    <n v="19"/>
    <n v="58"/>
    <n v="19"/>
    <n v="11"/>
    <n v="58"/>
    <n v="11"/>
    <n v="6"/>
    <n v="55"/>
  </r>
  <r>
    <s v="Appalachian Regional PN"/>
    <x v="1"/>
    <n v="7"/>
    <x v="1"/>
    <m/>
    <m/>
    <n v="46"/>
    <n v="44"/>
    <n v="96"/>
    <n v="39"/>
    <n v="36"/>
    <n v="92"/>
    <n v="55"/>
    <n v="45"/>
    <n v="81"/>
    <n v="39"/>
    <n v="29"/>
    <n v="74"/>
    <n v="58"/>
    <n v="52"/>
    <n v="90"/>
  </r>
  <r>
    <s v="Chattanooga College PN Program"/>
    <x v="2"/>
    <n v="33"/>
    <x v="0"/>
    <m/>
    <m/>
    <n v="19"/>
    <n v="17"/>
    <n v="89"/>
    <n v="18"/>
    <n v="13"/>
    <n v="72"/>
    <n v="24"/>
    <n v="22"/>
    <n v="92"/>
    <n v="48"/>
    <n v="40"/>
    <n v="83"/>
    <n v="100"/>
    <n v="81"/>
    <n v="81"/>
  </r>
  <r>
    <s v="Chattanooga State CC PN Program"/>
    <x v="2"/>
    <n v="33"/>
    <x v="0"/>
    <m/>
    <m/>
    <n v="30"/>
    <n v="28"/>
    <n v="93"/>
    <n v="33"/>
    <n v="28"/>
    <n v="85"/>
    <n v="35"/>
    <n v="32"/>
    <n v="91"/>
    <n v="42"/>
    <n v="38"/>
    <n v="90"/>
    <n v="36"/>
    <n v="29"/>
    <n v="81"/>
  </r>
  <r>
    <s v="Fortis Institute"/>
    <x v="0"/>
    <n v="19"/>
    <x v="0"/>
    <m/>
    <m/>
    <m/>
    <m/>
    <m/>
    <m/>
    <m/>
    <m/>
    <m/>
    <m/>
    <m/>
    <m/>
    <m/>
    <m/>
    <m/>
    <m/>
    <m/>
  </r>
  <r>
    <s v="Herzing University"/>
    <x v="0"/>
    <n v="19"/>
    <x v="0"/>
    <s v="ACEN (Candidate)"/>
    <m/>
    <m/>
    <m/>
    <m/>
    <m/>
    <m/>
    <m/>
    <m/>
    <m/>
    <m/>
    <m/>
    <m/>
    <m/>
    <n v="3"/>
    <n v="3"/>
    <n v="100"/>
  </r>
  <r>
    <s v="Jackson Regional PN Program"/>
    <x v="3"/>
    <n v="57"/>
    <x v="0"/>
    <m/>
    <m/>
    <n v="118"/>
    <n v="82"/>
    <n v="78"/>
    <n v="114"/>
    <n v="90"/>
    <n v="79"/>
    <n v="120"/>
    <n v="107"/>
    <n v="89"/>
    <n v="92"/>
    <n v="89"/>
    <n v="97"/>
    <n v="93"/>
    <n v="88"/>
    <n v="95"/>
  </r>
  <r>
    <s v="South Central Reg. PN Program"/>
    <x v="0"/>
    <n v="28"/>
    <x v="1"/>
    <s v="ACEN (Candidate)"/>
    <m/>
    <n v="41"/>
    <n v="31"/>
    <n v="76"/>
    <n v="44"/>
    <n v="39"/>
    <n v="89"/>
    <n v="47"/>
    <n v="36"/>
    <n v="77"/>
    <n v="47"/>
    <n v="39"/>
    <n v="83"/>
    <n v="48"/>
    <n v="45"/>
    <n v="94"/>
  </r>
  <r>
    <s v="South College"/>
    <x v="0"/>
    <n v="19"/>
    <x v="0"/>
    <s v="ACEN (Candidate)"/>
    <m/>
    <n v="62"/>
    <n v="57"/>
    <n v="92"/>
    <n v="90"/>
    <n v="86"/>
    <n v="96"/>
    <n v="114"/>
    <n v="109"/>
    <n v="96"/>
    <n v="90"/>
    <n v="85"/>
    <n v="94"/>
    <n v="102"/>
    <n v="98"/>
    <n v="96"/>
  </r>
  <r>
    <s v="Stones River PN Program"/>
    <x v="0"/>
    <n v="75"/>
    <x v="0"/>
    <m/>
    <m/>
    <m/>
    <m/>
    <m/>
    <n v="16"/>
    <n v="15"/>
    <n v="94"/>
    <n v="14"/>
    <n v="13"/>
    <n v="93"/>
    <n v="18"/>
    <n v="16"/>
    <n v="89"/>
    <n v="16"/>
    <n v="15"/>
    <n v="94"/>
  </r>
  <r>
    <s v="TCAT - Athens"/>
    <x v="2"/>
    <n v="54"/>
    <x v="1"/>
    <m/>
    <m/>
    <n v="38"/>
    <n v="38"/>
    <n v="100"/>
    <n v="31"/>
    <n v="29"/>
    <n v="94"/>
    <n v="33"/>
    <n v="32"/>
    <n v="97"/>
    <n v="34"/>
    <n v="32"/>
    <n v="94"/>
    <n v="50"/>
    <n v="43"/>
    <n v="86"/>
  </r>
  <r>
    <s v="TCAT - Crump"/>
    <x v="3"/>
    <n v="36"/>
    <x v="1"/>
    <m/>
    <m/>
    <m/>
    <m/>
    <m/>
    <m/>
    <m/>
    <m/>
    <m/>
    <m/>
    <m/>
    <n v="2"/>
    <n v="2"/>
    <n v="100"/>
    <n v="37"/>
    <n v="35"/>
    <n v="95"/>
  </r>
  <r>
    <s v="TCAT - Dickson"/>
    <x v="0"/>
    <n v="22"/>
    <x v="0"/>
    <m/>
    <m/>
    <n v="102"/>
    <n v="80"/>
    <n v="78"/>
    <n v="101"/>
    <n v="82"/>
    <n v="81"/>
    <n v="89"/>
    <n v="84"/>
    <n v="94"/>
    <n v="48"/>
    <n v="44"/>
    <n v="92"/>
    <n v="49"/>
    <n v="47"/>
    <n v="96"/>
  </r>
  <r>
    <s v="TCAT - Elizabethton"/>
    <x v="1"/>
    <n v="10"/>
    <x v="0"/>
    <m/>
    <m/>
    <n v="117"/>
    <n v="111"/>
    <n v="95"/>
    <n v="108"/>
    <n v="95"/>
    <n v="88"/>
    <n v="83"/>
    <n v="80"/>
    <n v="96"/>
    <n v="59"/>
    <n v="56"/>
    <n v="95"/>
    <n v="82"/>
    <n v="81"/>
    <n v="99"/>
  </r>
  <r>
    <s v="TCAT - Harriman (effective 8/2023 part of Appalachian Regional PN)"/>
    <x v="1"/>
    <n v="73"/>
    <x v="1"/>
    <m/>
    <m/>
    <n v="37"/>
    <n v="36"/>
    <n v="97"/>
    <n v="30"/>
    <n v="22"/>
    <n v="73"/>
    <n v="41"/>
    <n v="30"/>
    <n v="73"/>
    <n v="7"/>
    <n v="7"/>
    <n v="100"/>
    <n v="28"/>
    <n v="27"/>
    <n v="96"/>
  </r>
  <r>
    <s v="TCAT - Harstville"/>
    <x v="0"/>
    <n v="85"/>
    <x v="0"/>
    <m/>
    <m/>
    <n v="40"/>
    <n v="39"/>
    <n v="98"/>
    <n v="36"/>
    <n v="32"/>
    <n v="89"/>
    <n v="41"/>
    <n v="37"/>
    <n v="90"/>
    <n v="44"/>
    <n v="40"/>
    <n v="91"/>
    <n v="36"/>
    <n v="35"/>
    <n v="97"/>
  </r>
  <r>
    <s v="TCAT - Henry/Carroll (formerly_x000a_TCAT Paris)"/>
    <x v="3"/>
    <n v="40"/>
    <x v="1"/>
    <m/>
    <m/>
    <n v="38"/>
    <n v="36"/>
    <n v="95"/>
    <n v="40"/>
    <n v="37"/>
    <n v="93"/>
    <n v="34"/>
    <n v="32"/>
    <n v="94"/>
    <n v="37"/>
    <n v="31"/>
    <n v="84"/>
    <n v="36"/>
    <n v="32"/>
    <n v="89"/>
  </r>
  <r>
    <s v="TCAT - Hohenwald"/>
    <x v="0"/>
    <n v="51"/>
    <x v="1"/>
    <m/>
    <m/>
    <n v="48"/>
    <n v="42"/>
    <n v="88"/>
    <n v="47"/>
    <n v="41"/>
    <n v="87"/>
    <n v="33"/>
    <n v="28"/>
    <n v="85"/>
    <n v="56"/>
    <n v="47"/>
    <n v="84"/>
    <n v="39"/>
    <n v="37"/>
    <n v="95"/>
  </r>
  <r>
    <s v="TCAT - Knoxville"/>
    <x v="1"/>
    <n v="47"/>
    <x v="0"/>
    <m/>
    <m/>
    <n v="84"/>
    <n v="69"/>
    <n v="82"/>
    <n v="83"/>
    <n v="69"/>
    <n v="83"/>
    <n v="114"/>
    <n v="91"/>
    <n v="80"/>
    <n v="87"/>
    <n v="83"/>
    <n v="95"/>
    <n v="87"/>
    <n v="84"/>
    <n v="97"/>
  </r>
  <r>
    <s v="TCAT - Livingston"/>
    <x v="2"/>
    <n v="67"/>
    <x v="1"/>
    <m/>
    <m/>
    <n v="82"/>
    <n v="73"/>
    <n v="89"/>
    <n v="42"/>
    <n v="37"/>
    <n v="88"/>
    <n v="53"/>
    <n v="44"/>
    <n v="83"/>
    <n v="71"/>
    <n v="64"/>
    <n v="90"/>
    <n v="65"/>
    <n v="60"/>
    <n v="92"/>
  </r>
  <r>
    <s v="TCAT - Memphis"/>
    <x v="3"/>
    <n v="79"/>
    <x v="0"/>
    <m/>
    <m/>
    <n v="27"/>
    <n v="26"/>
    <n v="96"/>
    <n v="44"/>
    <n v="39"/>
    <n v="89"/>
    <n v="33"/>
    <n v="23"/>
    <n v="70"/>
    <n v="46"/>
    <n v="40"/>
    <n v="87"/>
    <n v="50"/>
    <n v="41"/>
    <n v="82"/>
  </r>
  <r>
    <s v="TCAT - Morristown"/>
    <x v="1"/>
    <n v="32"/>
    <x v="1"/>
    <m/>
    <m/>
    <n v="58"/>
    <n v="53"/>
    <n v="91"/>
    <n v="64"/>
    <n v="58"/>
    <n v="91"/>
    <n v="66"/>
    <n v="55"/>
    <n v="83"/>
    <n v="62"/>
    <n v="59"/>
    <n v="95"/>
    <n v="56"/>
    <n v="54"/>
    <n v="96"/>
  </r>
  <r>
    <s v="TCAT - Nashville"/>
    <x v="0"/>
    <n v="19"/>
    <x v="0"/>
    <m/>
    <m/>
    <n v="63"/>
    <n v="59"/>
    <n v="94"/>
    <n v="62"/>
    <n v="57"/>
    <n v="92"/>
    <n v="67"/>
    <n v="60"/>
    <n v="90"/>
    <n v="57"/>
    <n v="55"/>
    <n v="96"/>
    <n v="41"/>
    <n v="40"/>
    <n v="98"/>
  </r>
  <r>
    <s v="TCAT - Northwest (formerly Four Rivers)"/>
    <x v="3"/>
    <n v="23"/>
    <x v="1"/>
    <m/>
    <m/>
    <n v="110"/>
    <n v="89"/>
    <n v="81"/>
    <n v="128"/>
    <n v="105"/>
    <n v="82"/>
    <n v="109"/>
    <n v="79"/>
    <n v="72"/>
    <n v="78"/>
    <n v="73"/>
    <n v="94"/>
    <n v="44"/>
    <n v="38"/>
    <n v="86"/>
  </r>
  <r>
    <s v="TCAT - Upper Cumberland (formerly TCAT - Crossville)"/>
    <x v="2"/>
    <n v="18"/>
    <x v="1"/>
    <m/>
    <m/>
    <n v="37"/>
    <n v="36"/>
    <n v="97"/>
    <n v="60"/>
    <n v="50"/>
    <n v="83"/>
    <n v="46"/>
    <n v="40"/>
    <n v="87"/>
    <n v="37"/>
    <n v="32"/>
    <n v="86"/>
    <n v="47"/>
    <n v="43"/>
    <n v="91"/>
  </r>
  <r>
    <s v="TN Valley Reg. PN Program"/>
    <x v="0"/>
    <n v="2"/>
    <x v="1"/>
    <m/>
    <m/>
    <n v="72"/>
    <n v="68"/>
    <n v="94"/>
    <n v="59"/>
    <n v="57"/>
    <n v="97"/>
    <n v="72"/>
    <n v="64"/>
    <n v="89"/>
    <n v="66"/>
    <n v="64"/>
    <n v="97"/>
    <n v="44"/>
    <n v="43"/>
    <n v="98"/>
  </r>
  <r>
    <s v="The Academy of Allied Health Careers"/>
    <x v="2"/>
    <n v="33"/>
    <x v="0"/>
    <m/>
    <m/>
    <m/>
    <m/>
    <m/>
    <m/>
    <m/>
    <m/>
    <m/>
    <m/>
    <m/>
    <m/>
    <m/>
    <m/>
    <m/>
    <m/>
    <m/>
  </r>
  <r>
    <s v="The Healthcare Institute**"/>
    <x v="3"/>
    <n v="79"/>
    <x v="1"/>
    <m/>
    <m/>
    <n v="3"/>
    <n v="3"/>
    <n v="100"/>
    <n v="14"/>
    <n v="7"/>
    <n v="50"/>
    <n v="13"/>
    <n v="7"/>
    <n v="54"/>
    <n v="17"/>
    <n v="10"/>
    <n v="59"/>
    <n v="3"/>
    <n v="3"/>
    <n v="1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6DE8205-9B29-43F5-BE1C-A4912DC14212}" name="PivotTable23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K16" firstHeaderRow="0" firstDataRow="1" firstDataCol="1"/>
  <pivotFields count="21">
    <pivotField showAll="0"/>
    <pivotField axis="axisRow" showAll="0">
      <items count="5">
        <item x="1"/>
        <item x="2"/>
        <item x="0"/>
        <item x="3"/>
        <item t="default"/>
      </items>
    </pivotField>
    <pivotField showAll="0"/>
    <pivotField axis="axisRow" showAll="0">
      <items count="3">
        <item x="1"/>
        <item x="0"/>
        <item t="default"/>
      </items>
    </pivotField>
    <pivotField showAll="0"/>
    <pivotField showAll="0"/>
    <pivotField dataField="1" showAll="0"/>
    <pivotField dataField="1" showAll="0"/>
    <pivotField showAll="0"/>
    <pivotField dataField="1" showAll="0"/>
    <pivotField dataField="1" showAll="0"/>
    <pivotField showAll="0"/>
    <pivotField dataField="1" showAll="0"/>
    <pivotField dataField="1" showAll="0"/>
    <pivotField showAll="0"/>
    <pivotField dataField="1" showAll="0"/>
    <pivotField dataField="1" showAll="0"/>
    <pivotField showAll="0"/>
    <pivotField dataField="1" showAll="0"/>
    <pivotField dataField="1" showAll="0"/>
    <pivotField showAll="0"/>
  </pivotFields>
  <rowFields count="2">
    <field x="1"/>
    <field x="3"/>
  </rowFields>
  <rowItems count="13">
    <i>
      <x/>
    </i>
    <i r="1">
      <x/>
    </i>
    <i r="1">
      <x v="1"/>
    </i>
    <i>
      <x v="1"/>
    </i>
    <i r="1">
      <x/>
    </i>
    <i r="1">
      <x v="1"/>
    </i>
    <i>
      <x v="2"/>
    </i>
    <i r="1">
      <x/>
    </i>
    <i r="1">
      <x v="1"/>
    </i>
    <i>
      <x v="3"/>
    </i>
    <i r="1">
      <x/>
    </i>
    <i r="1">
      <x v="1"/>
    </i>
    <i t="grand">
      <x/>
    </i>
  </rowItems>
  <colFields count="1">
    <field x="-2"/>
  </colFields>
  <colItems count="10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</colItems>
  <dataFields count="10">
    <dataField name="Sum of No." fld="6" baseField="0" baseItem="0"/>
    <dataField name="Sum of Pass" fld="7" baseField="0" baseItem="0"/>
    <dataField name="Sum of No.2" fld="9" baseField="0" baseItem="0"/>
    <dataField name="Sum of Pass2" fld="10" baseField="0" baseItem="0"/>
    <dataField name="Sum of No.3" fld="12" baseField="0" baseItem="0"/>
    <dataField name="Sum of Pass3" fld="13" baseField="0" baseItem="0"/>
    <dataField name="Sum of No.4" fld="15" baseField="0" baseItem="0"/>
    <dataField name="Sum of Pass4" fld="16" baseField="0" baseItem="0"/>
    <dataField name="Sum of No.5" fld="18" baseField="0" baseItem="0"/>
    <dataField name="Sum of Pass5" fld="19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5B6E036-A3D1-4591-9D9B-8571A91DA386}" name="PivotTable2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K6" firstHeaderRow="0" firstDataRow="1" firstDataCol="1"/>
  <pivotFields count="21">
    <pivotField showAll="0"/>
    <pivotField showAll="0"/>
    <pivotField showAll="0"/>
    <pivotField axis="axisRow" showAll="0">
      <items count="3">
        <item x="1"/>
        <item x="0"/>
        <item t="default"/>
      </items>
    </pivotField>
    <pivotField showAll="0"/>
    <pivotField showAll="0"/>
    <pivotField dataField="1" showAll="0"/>
    <pivotField dataField="1" showAll="0"/>
    <pivotField showAll="0"/>
    <pivotField dataField="1" showAll="0"/>
    <pivotField dataField="1" showAll="0"/>
    <pivotField showAll="0"/>
    <pivotField dataField="1" showAll="0"/>
    <pivotField dataField="1" showAll="0"/>
    <pivotField showAll="0"/>
    <pivotField dataField="1" showAll="0"/>
    <pivotField dataField="1" showAll="0"/>
    <pivotField showAll="0"/>
    <pivotField dataField="1" showAll="0"/>
    <pivotField dataField="1" showAll="0"/>
    <pivotField showAll="0"/>
  </pivotFields>
  <rowFields count="1">
    <field x="3"/>
  </rowFields>
  <rowItems count="3">
    <i>
      <x/>
    </i>
    <i>
      <x v="1"/>
    </i>
    <i t="grand">
      <x/>
    </i>
  </rowItems>
  <colFields count="1">
    <field x="-2"/>
  </colFields>
  <colItems count="10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</colItems>
  <dataFields count="10">
    <dataField name="Sum of No." fld="6" baseField="0" baseItem="0"/>
    <dataField name="Sum of Pass" fld="7" baseField="0" baseItem="0"/>
    <dataField name="Sum of No.2" fld="9" baseField="0" baseItem="0"/>
    <dataField name="Sum of Pass2" fld="10" baseField="0" baseItem="0"/>
    <dataField name="Sum of No.3" fld="12" baseField="0" baseItem="0"/>
    <dataField name="Sum of Pass3" fld="13" baseField="0" baseItem="0"/>
    <dataField name="Sum of No.4" fld="15" baseField="0" baseItem="0"/>
    <dataField name="Sum of Pass4" fld="16" baseField="0" baseItem="0"/>
    <dataField name="Sum of No.5" fld="18" baseField="0" baseItem="0"/>
    <dataField name="Sum of Pass5" fld="19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EB3430B-6E0B-4076-8C75-8DD9C093A777}" name="PivotTable24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8" firstHeaderRow="1" firstDataRow="1" firstDataCol="1"/>
  <pivotFields count="21">
    <pivotField showAll="0"/>
    <pivotField axis="axisRow" showAll="0">
      <items count="5">
        <item x="1"/>
        <item x="2"/>
        <item x="0"/>
        <item x="3"/>
        <item t="default"/>
      </items>
    </pivotField>
    <pivotField showAll="0"/>
    <pivotField dataField="1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Classification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323D7BFC-444A-4CC3-9034-2DEBF277AC14}" autoFormatId="16" applyNumberFormats="0" applyBorderFormats="0" applyFontFormats="0" applyPatternFormats="0" applyAlignmentFormats="0" applyWidthHeightFormats="0">
  <queryTableRefresh nextId="13">
    <queryTableFields count="1">
      <queryTableField id="1" name="County" tableColumnId="1"/>
    </queryTableFields>
    <queryTableDeletedFields count="8">
      <deletedField name="Map"/>
      <deletedField name="Etymology[9]"/>
      <deletedField name="FIPS code[8]"/>
      <deletedField name="County seat[1]"/>
      <deletedField name="Area[10][1]"/>
      <deletedField name="Population"/>
      <deletedField name="Est.[1]"/>
      <deletedField name="Origin[9]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87DC7A4-A0A7-40F7-932C-8E3BF8BFED07}" name="Table_13" displayName="Table_13" ref="AE1:AE96" tableType="queryTable" totalsRowShown="0" headerRowDxfId="1">
  <tableColumns count="1">
    <tableColumn id="1" xr3:uid="{9E960218-C28D-4E6F-9BC9-B9E280D838F9}" uniqueName="1" name="County" queryTableFieldId="1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9FA0F-11CB-4B72-8203-4D2DC0C895FA}">
  <dimension ref="A3:Q28"/>
  <sheetViews>
    <sheetView topLeftCell="B16" workbookViewId="0">
      <selection activeCell="E31" sqref="E31"/>
    </sheetView>
  </sheetViews>
  <sheetFormatPr defaultRowHeight="13.2" x14ac:dyDescent="0.25"/>
  <cols>
    <col min="1" max="1" width="12.77734375" bestFit="1" customWidth="1"/>
    <col min="2" max="2" width="9.77734375" bestFit="1" customWidth="1"/>
    <col min="3" max="3" width="10.6640625" bestFit="1" customWidth="1"/>
    <col min="4" max="4" width="10.77734375" bestFit="1" customWidth="1"/>
    <col min="5" max="5" width="11.6640625" bestFit="1" customWidth="1"/>
    <col min="6" max="6" width="10.77734375" bestFit="1" customWidth="1"/>
    <col min="7" max="7" width="11.6640625" bestFit="1" customWidth="1"/>
    <col min="8" max="8" width="10.77734375" bestFit="1" customWidth="1"/>
    <col min="9" max="9" width="11.6640625" bestFit="1" customWidth="1"/>
    <col min="10" max="10" width="10.77734375" bestFit="1" customWidth="1"/>
    <col min="11" max="11" width="11.6640625" bestFit="1" customWidth="1"/>
  </cols>
  <sheetData>
    <row r="3" spans="1:11" x14ac:dyDescent="0.25">
      <c r="A3" s="21" t="s">
        <v>43</v>
      </c>
      <c r="B3" t="s">
        <v>45</v>
      </c>
      <c r="C3" t="s">
        <v>46</v>
      </c>
      <c r="D3" t="s">
        <v>47</v>
      </c>
      <c r="E3" t="s">
        <v>48</v>
      </c>
      <c r="F3" t="s">
        <v>49</v>
      </c>
      <c r="G3" t="s">
        <v>50</v>
      </c>
      <c r="H3" t="s">
        <v>51</v>
      </c>
      <c r="I3" t="s">
        <v>52</v>
      </c>
      <c r="J3" t="s">
        <v>53</v>
      </c>
      <c r="K3" t="s">
        <v>54</v>
      </c>
    </row>
    <row r="4" spans="1:11" x14ac:dyDescent="0.25">
      <c r="A4">
        <v>1</v>
      </c>
      <c r="B4">
        <v>342</v>
      </c>
      <c r="C4">
        <v>313</v>
      </c>
      <c r="D4">
        <v>324</v>
      </c>
      <c r="E4">
        <v>280</v>
      </c>
      <c r="F4">
        <v>359</v>
      </c>
      <c r="G4">
        <v>301</v>
      </c>
      <c r="H4">
        <v>254</v>
      </c>
      <c r="I4">
        <v>234</v>
      </c>
      <c r="J4">
        <v>311</v>
      </c>
      <c r="K4">
        <v>298</v>
      </c>
    </row>
    <row r="5" spans="1:11" x14ac:dyDescent="0.25">
      <c r="A5" s="23" t="s">
        <v>41</v>
      </c>
      <c r="B5">
        <v>141</v>
      </c>
      <c r="C5">
        <v>133</v>
      </c>
      <c r="D5">
        <v>133</v>
      </c>
      <c r="E5">
        <v>116</v>
      </c>
      <c r="F5">
        <v>162</v>
      </c>
      <c r="G5">
        <v>130</v>
      </c>
      <c r="H5">
        <v>108</v>
      </c>
      <c r="I5">
        <v>95</v>
      </c>
      <c r="J5">
        <v>142</v>
      </c>
      <c r="K5">
        <v>133</v>
      </c>
    </row>
    <row r="6" spans="1:11" x14ac:dyDescent="0.25">
      <c r="A6" s="23" t="s">
        <v>40</v>
      </c>
      <c r="B6">
        <v>201</v>
      </c>
      <c r="C6">
        <v>180</v>
      </c>
      <c r="D6">
        <v>191</v>
      </c>
      <c r="E6">
        <v>164</v>
      </c>
      <c r="F6">
        <v>197</v>
      </c>
      <c r="G6">
        <v>171</v>
      </c>
      <c r="H6">
        <v>146</v>
      </c>
      <c r="I6">
        <v>139</v>
      </c>
      <c r="J6">
        <v>169</v>
      </c>
      <c r="K6">
        <v>165</v>
      </c>
    </row>
    <row r="7" spans="1:11" x14ac:dyDescent="0.25">
      <c r="A7">
        <v>2</v>
      </c>
      <c r="B7">
        <v>206</v>
      </c>
      <c r="C7">
        <v>192</v>
      </c>
      <c r="D7">
        <v>184</v>
      </c>
      <c r="E7">
        <v>157</v>
      </c>
      <c r="F7">
        <v>191</v>
      </c>
      <c r="G7">
        <v>170</v>
      </c>
      <c r="H7">
        <v>232</v>
      </c>
      <c r="I7">
        <v>206</v>
      </c>
      <c r="J7">
        <v>298</v>
      </c>
      <c r="K7">
        <v>256</v>
      </c>
    </row>
    <row r="8" spans="1:11" x14ac:dyDescent="0.25">
      <c r="A8" s="23" t="s">
        <v>41</v>
      </c>
      <c r="B8">
        <v>157</v>
      </c>
      <c r="C8">
        <v>147</v>
      </c>
      <c r="D8">
        <v>133</v>
      </c>
      <c r="E8">
        <v>116</v>
      </c>
      <c r="F8">
        <v>132</v>
      </c>
      <c r="G8">
        <v>116</v>
      </c>
      <c r="H8">
        <v>142</v>
      </c>
      <c r="I8">
        <v>128</v>
      </c>
      <c r="J8">
        <v>162</v>
      </c>
      <c r="K8">
        <v>146</v>
      </c>
    </row>
    <row r="9" spans="1:11" x14ac:dyDescent="0.25">
      <c r="A9" s="23" t="s">
        <v>40</v>
      </c>
      <c r="B9">
        <v>49</v>
      </c>
      <c r="C9">
        <v>45</v>
      </c>
      <c r="D9">
        <v>51</v>
      </c>
      <c r="E9">
        <v>41</v>
      </c>
      <c r="F9">
        <v>59</v>
      </c>
      <c r="G9">
        <v>54</v>
      </c>
      <c r="H9">
        <v>90</v>
      </c>
      <c r="I9">
        <v>78</v>
      </c>
      <c r="J9">
        <v>136</v>
      </c>
      <c r="K9">
        <v>110</v>
      </c>
    </row>
    <row r="10" spans="1:11" x14ac:dyDescent="0.25">
      <c r="A10">
        <v>3</v>
      </c>
      <c r="B10">
        <v>428</v>
      </c>
      <c r="C10">
        <v>376</v>
      </c>
      <c r="D10">
        <v>466</v>
      </c>
      <c r="E10">
        <v>416</v>
      </c>
      <c r="F10">
        <v>510</v>
      </c>
      <c r="G10">
        <v>450</v>
      </c>
      <c r="H10">
        <v>445</v>
      </c>
      <c r="I10">
        <v>401</v>
      </c>
      <c r="J10">
        <v>389</v>
      </c>
      <c r="K10">
        <v>369</v>
      </c>
    </row>
    <row r="11" spans="1:11" x14ac:dyDescent="0.25">
      <c r="A11" s="23" t="s">
        <v>41</v>
      </c>
      <c r="B11">
        <v>161</v>
      </c>
      <c r="C11">
        <v>141</v>
      </c>
      <c r="D11">
        <v>150</v>
      </c>
      <c r="E11">
        <v>137</v>
      </c>
      <c r="F11">
        <v>152</v>
      </c>
      <c r="G11">
        <v>128</v>
      </c>
      <c r="H11">
        <v>169</v>
      </c>
      <c r="I11">
        <v>150</v>
      </c>
      <c r="J11">
        <v>131</v>
      </c>
      <c r="K11">
        <v>125</v>
      </c>
    </row>
    <row r="12" spans="1:11" x14ac:dyDescent="0.25">
      <c r="A12" s="23" t="s">
        <v>40</v>
      </c>
      <c r="B12">
        <v>267</v>
      </c>
      <c r="C12">
        <v>235</v>
      </c>
      <c r="D12">
        <v>316</v>
      </c>
      <c r="E12">
        <v>279</v>
      </c>
      <c r="F12">
        <v>358</v>
      </c>
      <c r="G12">
        <v>322</v>
      </c>
      <c r="H12">
        <v>276</v>
      </c>
      <c r="I12">
        <v>251</v>
      </c>
      <c r="J12">
        <v>258</v>
      </c>
      <c r="K12">
        <v>244</v>
      </c>
    </row>
    <row r="13" spans="1:11" x14ac:dyDescent="0.25">
      <c r="A13">
        <v>4</v>
      </c>
      <c r="B13">
        <v>296</v>
      </c>
      <c r="C13">
        <v>236</v>
      </c>
      <c r="D13">
        <v>340</v>
      </c>
      <c r="E13">
        <v>278</v>
      </c>
      <c r="F13">
        <v>309</v>
      </c>
      <c r="G13">
        <v>248</v>
      </c>
      <c r="H13">
        <v>272</v>
      </c>
      <c r="I13">
        <v>245</v>
      </c>
      <c r="J13">
        <v>263</v>
      </c>
      <c r="K13">
        <v>237</v>
      </c>
    </row>
    <row r="14" spans="1:11" x14ac:dyDescent="0.25">
      <c r="A14" s="23" t="s">
        <v>41</v>
      </c>
      <c r="B14">
        <v>151</v>
      </c>
      <c r="C14">
        <v>128</v>
      </c>
      <c r="D14">
        <v>182</v>
      </c>
      <c r="E14">
        <v>149</v>
      </c>
      <c r="F14">
        <v>156</v>
      </c>
      <c r="G14">
        <v>118</v>
      </c>
      <c r="H14">
        <v>134</v>
      </c>
      <c r="I14">
        <v>116</v>
      </c>
      <c r="J14">
        <v>120</v>
      </c>
      <c r="K14">
        <v>108</v>
      </c>
    </row>
    <row r="15" spans="1:11" x14ac:dyDescent="0.25">
      <c r="A15" s="23" t="s">
        <v>40</v>
      </c>
      <c r="B15">
        <v>145</v>
      </c>
      <c r="C15">
        <v>108</v>
      </c>
      <c r="D15">
        <v>158</v>
      </c>
      <c r="E15">
        <v>129</v>
      </c>
      <c r="F15">
        <v>153</v>
      </c>
      <c r="G15">
        <v>130</v>
      </c>
      <c r="H15">
        <v>138</v>
      </c>
      <c r="I15">
        <v>129</v>
      </c>
      <c r="J15">
        <v>143</v>
      </c>
      <c r="K15">
        <v>129</v>
      </c>
    </row>
    <row r="16" spans="1:11" x14ac:dyDescent="0.25">
      <c r="A16" t="s">
        <v>44</v>
      </c>
      <c r="B16">
        <v>1272</v>
      </c>
      <c r="C16">
        <v>1117</v>
      </c>
      <c r="D16">
        <v>1314</v>
      </c>
      <c r="E16">
        <v>1131</v>
      </c>
      <c r="F16">
        <v>1369</v>
      </c>
      <c r="G16">
        <v>1169</v>
      </c>
      <c r="H16">
        <v>1203</v>
      </c>
      <c r="I16">
        <v>1086</v>
      </c>
      <c r="J16">
        <v>1261</v>
      </c>
      <c r="K16">
        <v>1160</v>
      </c>
    </row>
    <row r="20" spans="1:17" x14ac:dyDescent="0.25">
      <c r="C20" s="24" t="s">
        <v>45</v>
      </c>
      <c r="D20" s="24" t="s">
        <v>46</v>
      </c>
      <c r="E20">
        <v>2020</v>
      </c>
      <c r="F20" s="24" t="s">
        <v>47</v>
      </c>
      <c r="G20" s="24" t="s">
        <v>48</v>
      </c>
      <c r="H20">
        <v>2021</v>
      </c>
      <c r="I20" s="24" t="s">
        <v>49</v>
      </c>
      <c r="J20" s="24" t="s">
        <v>50</v>
      </c>
      <c r="K20">
        <v>2022</v>
      </c>
      <c r="L20" s="24" t="s">
        <v>51</v>
      </c>
      <c r="M20" s="24" t="s">
        <v>52</v>
      </c>
      <c r="N20">
        <v>2023</v>
      </c>
      <c r="O20" s="24" t="s">
        <v>53</v>
      </c>
      <c r="P20" s="24" t="s">
        <v>54</v>
      </c>
      <c r="Q20">
        <v>2024</v>
      </c>
    </row>
    <row r="21" spans="1:17" x14ac:dyDescent="0.25">
      <c r="A21" t="s">
        <v>57</v>
      </c>
      <c r="B21" s="25" t="s">
        <v>55</v>
      </c>
      <c r="C21">
        <v>141</v>
      </c>
      <c r="D21">
        <v>133</v>
      </c>
      <c r="E21" s="22">
        <f>D21/C21</f>
        <v>0.94326241134751776</v>
      </c>
      <c r="F21">
        <v>133</v>
      </c>
      <c r="G21">
        <v>116</v>
      </c>
      <c r="H21" s="22">
        <f>G21/F21</f>
        <v>0.8721804511278195</v>
      </c>
      <c r="I21">
        <v>162</v>
      </c>
      <c r="J21">
        <v>130</v>
      </c>
      <c r="K21" s="22">
        <f>J21/I21</f>
        <v>0.80246913580246915</v>
      </c>
      <c r="L21">
        <v>108</v>
      </c>
      <c r="M21">
        <v>95</v>
      </c>
      <c r="N21" s="22">
        <f>M21/L21</f>
        <v>0.87962962962962965</v>
      </c>
      <c r="O21">
        <v>142</v>
      </c>
      <c r="P21">
        <v>133</v>
      </c>
      <c r="Q21" s="22">
        <f>P21/O21</f>
        <v>0.93661971830985913</v>
      </c>
    </row>
    <row r="22" spans="1:17" x14ac:dyDescent="0.25">
      <c r="B22" s="25" t="s">
        <v>56</v>
      </c>
      <c r="C22">
        <v>201</v>
      </c>
      <c r="D22">
        <v>180</v>
      </c>
      <c r="E22" s="22">
        <f t="shared" ref="E22:E28" si="0">D22/C22</f>
        <v>0.89552238805970152</v>
      </c>
      <c r="F22">
        <v>191</v>
      </c>
      <c r="G22">
        <v>164</v>
      </c>
      <c r="H22" s="22">
        <f t="shared" ref="H22:H28" si="1">G22/F22</f>
        <v>0.8586387434554974</v>
      </c>
      <c r="I22">
        <v>197</v>
      </c>
      <c r="J22">
        <v>171</v>
      </c>
      <c r="K22" s="22">
        <f t="shared" ref="K22:K28" si="2">J22/I22</f>
        <v>0.86802030456852797</v>
      </c>
      <c r="L22">
        <v>146</v>
      </c>
      <c r="M22">
        <v>139</v>
      </c>
      <c r="N22" s="22">
        <f t="shared" ref="N22:N28" si="3">M22/L22</f>
        <v>0.95205479452054798</v>
      </c>
      <c r="O22">
        <v>169</v>
      </c>
      <c r="P22">
        <v>165</v>
      </c>
      <c r="Q22" s="22">
        <f t="shared" ref="Q22:Q28" si="4">P22/O22</f>
        <v>0.97633136094674555</v>
      </c>
    </row>
    <row r="23" spans="1:17" x14ac:dyDescent="0.25">
      <c r="A23" t="s">
        <v>58</v>
      </c>
      <c r="B23" s="25" t="s">
        <v>55</v>
      </c>
      <c r="C23">
        <v>157</v>
      </c>
      <c r="D23">
        <v>147</v>
      </c>
      <c r="E23" s="22">
        <f t="shared" si="0"/>
        <v>0.93630573248407645</v>
      </c>
      <c r="F23">
        <v>133</v>
      </c>
      <c r="G23">
        <v>116</v>
      </c>
      <c r="H23" s="22">
        <f t="shared" si="1"/>
        <v>0.8721804511278195</v>
      </c>
      <c r="I23">
        <v>132</v>
      </c>
      <c r="J23">
        <v>116</v>
      </c>
      <c r="K23" s="22">
        <f t="shared" si="2"/>
        <v>0.87878787878787878</v>
      </c>
      <c r="L23">
        <v>142</v>
      </c>
      <c r="M23">
        <v>128</v>
      </c>
      <c r="N23" s="22">
        <f t="shared" si="3"/>
        <v>0.90140845070422537</v>
      </c>
      <c r="O23">
        <v>162</v>
      </c>
      <c r="P23">
        <v>146</v>
      </c>
      <c r="Q23" s="22">
        <f t="shared" si="4"/>
        <v>0.90123456790123457</v>
      </c>
    </row>
    <row r="24" spans="1:17" x14ac:dyDescent="0.25">
      <c r="B24" s="25" t="s">
        <v>56</v>
      </c>
      <c r="C24">
        <v>49</v>
      </c>
      <c r="D24">
        <v>45</v>
      </c>
      <c r="E24" s="22">
        <f t="shared" si="0"/>
        <v>0.91836734693877553</v>
      </c>
      <c r="F24">
        <v>51</v>
      </c>
      <c r="G24">
        <v>41</v>
      </c>
      <c r="H24" s="22">
        <f t="shared" si="1"/>
        <v>0.80392156862745101</v>
      </c>
      <c r="I24">
        <v>59</v>
      </c>
      <c r="J24">
        <v>54</v>
      </c>
      <c r="K24" s="22">
        <f t="shared" si="2"/>
        <v>0.9152542372881356</v>
      </c>
      <c r="L24">
        <v>90</v>
      </c>
      <c r="M24">
        <v>78</v>
      </c>
      <c r="N24" s="22">
        <f t="shared" si="3"/>
        <v>0.8666666666666667</v>
      </c>
      <c r="O24">
        <v>136</v>
      </c>
      <c r="P24">
        <v>110</v>
      </c>
      <c r="Q24" s="22">
        <f t="shared" si="4"/>
        <v>0.80882352941176472</v>
      </c>
    </row>
    <row r="25" spans="1:17" x14ac:dyDescent="0.25">
      <c r="A25" t="s">
        <v>59</v>
      </c>
      <c r="B25" s="25" t="s">
        <v>55</v>
      </c>
      <c r="C25">
        <v>161</v>
      </c>
      <c r="D25">
        <v>141</v>
      </c>
      <c r="E25" s="22">
        <f t="shared" si="0"/>
        <v>0.87577639751552794</v>
      </c>
      <c r="F25">
        <v>150</v>
      </c>
      <c r="G25">
        <v>137</v>
      </c>
      <c r="H25" s="22">
        <f t="shared" si="1"/>
        <v>0.91333333333333333</v>
      </c>
      <c r="I25">
        <v>152</v>
      </c>
      <c r="J25">
        <v>128</v>
      </c>
      <c r="K25" s="22">
        <f t="shared" si="2"/>
        <v>0.84210526315789469</v>
      </c>
      <c r="L25">
        <v>169</v>
      </c>
      <c r="M25">
        <v>150</v>
      </c>
      <c r="N25" s="22">
        <f t="shared" si="3"/>
        <v>0.8875739644970414</v>
      </c>
      <c r="O25">
        <v>131</v>
      </c>
      <c r="P25">
        <v>125</v>
      </c>
      <c r="Q25" s="22">
        <f t="shared" si="4"/>
        <v>0.95419847328244278</v>
      </c>
    </row>
    <row r="26" spans="1:17" x14ac:dyDescent="0.25">
      <c r="B26" s="25" t="s">
        <v>56</v>
      </c>
      <c r="C26">
        <v>267</v>
      </c>
      <c r="D26">
        <v>235</v>
      </c>
      <c r="E26" s="22">
        <f t="shared" si="0"/>
        <v>0.88014981273408244</v>
      </c>
      <c r="F26">
        <v>316</v>
      </c>
      <c r="G26">
        <v>279</v>
      </c>
      <c r="H26" s="22">
        <f t="shared" si="1"/>
        <v>0.88291139240506333</v>
      </c>
      <c r="I26">
        <v>358</v>
      </c>
      <c r="J26">
        <v>322</v>
      </c>
      <c r="K26" s="22">
        <f t="shared" si="2"/>
        <v>0.8994413407821229</v>
      </c>
      <c r="L26">
        <v>276</v>
      </c>
      <c r="M26">
        <v>251</v>
      </c>
      <c r="N26" s="22">
        <f t="shared" si="3"/>
        <v>0.90942028985507251</v>
      </c>
      <c r="O26">
        <v>258</v>
      </c>
      <c r="P26">
        <v>244</v>
      </c>
      <c r="Q26" s="22">
        <f t="shared" si="4"/>
        <v>0.94573643410852715</v>
      </c>
    </row>
    <row r="27" spans="1:17" x14ac:dyDescent="0.25">
      <c r="A27" t="s">
        <v>60</v>
      </c>
      <c r="B27" s="25" t="s">
        <v>55</v>
      </c>
      <c r="C27">
        <v>151</v>
      </c>
      <c r="D27">
        <v>128</v>
      </c>
      <c r="E27" s="22">
        <f t="shared" si="0"/>
        <v>0.84768211920529801</v>
      </c>
      <c r="F27">
        <v>182</v>
      </c>
      <c r="G27">
        <v>149</v>
      </c>
      <c r="H27" s="22">
        <f t="shared" si="1"/>
        <v>0.81868131868131866</v>
      </c>
      <c r="I27">
        <v>156</v>
      </c>
      <c r="J27">
        <v>118</v>
      </c>
      <c r="K27" s="22">
        <f t="shared" si="2"/>
        <v>0.75641025641025639</v>
      </c>
      <c r="L27">
        <v>134</v>
      </c>
      <c r="M27">
        <v>116</v>
      </c>
      <c r="N27" s="22">
        <f t="shared" si="3"/>
        <v>0.86567164179104472</v>
      </c>
      <c r="O27">
        <v>120</v>
      </c>
      <c r="P27">
        <v>108</v>
      </c>
      <c r="Q27" s="22">
        <f t="shared" si="4"/>
        <v>0.9</v>
      </c>
    </row>
    <row r="28" spans="1:17" x14ac:dyDescent="0.25">
      <c r="B28" s="25" t="s">
        <v>56</v>
      </c>
      <c r="C28">
        <v>145</v>
      </c>
      <c r="D28">
        <v>108</v>
      </c>
      <c r="E28" s="22">
        <f t="shared" si="0"/>
        <v>0.7448275862068966</v>
      </c>
      <c r="F28">
        <v>158</v>
      </c>
      <c r="G28">
        <v>129</v>
      </c>
      <c r="H28" s="22">
        <f t="shared" si="1"/>
        <v>0.81645569620253167</v>
      </c>
      <c r="I28">
        <v>153</v>
      </c>
      <c r="J28">
        <v>130</v>
      </c>
      <c r="K28" s="22">
        <f t="shared" si="2"/>
        <v>0.84967320261437906</v>
      </c>
      <c r="L28">
        <v>138</v>
      </c>
      <c r="M28">
        <v>129</v>
      </c>
      <c r="N28" s="22">
        <f t="shared" si="3"/>
        <v>0.93478260869565222</v>
      </c>
      <c r="O28">
        <v>143</v>
      </c>
      <c r="P28">
        <v>129</v>
      </c>
      <c r="Q28" s="22">
        <f t="shared" si="4"/>
        <v>0.90209790209790208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E8AEA3-5AFC-4981-BFC0-E342B8F71107}">
  <dimension ref="A2:AB6"/>
  <sheetViews>
    <sheetView topLeftCell="H1" workbookViewId="0">
      <selection activeCell="AB2" activeCellId="5" sqref="M2:M4 P2:P4 S2:S4 V2:V4 Y2:Y4 AB2:AB4"/>
    </sheetView>
  </sheetViews>
  <sheetFormatPr defaultRowHeight="13.2" x14ac:dyDescent="0.25"/>
  <cols>
    <col min="1" max="1" width="12.77734375" bestFit="1" customWidth="1"/>
    <col min="2" max="2" width="9.77734375" bestFit="1" customWidth="1"/>
    <col min="3" max="3" width="10.6640625" bestFit="1" customWidth="1"/>
    <col min="4" max="4" width="10.77734375" bestFit="1" customWidth="1"/>
    <col min="5" max="5" width="11.6640625" bestFit="1" customWidth="1"/>
    <col min="6" max="6" width="10.77734375" bestFit="1" customWidth="1"/>
    <col min="7" max="7" width="11.6640625" bestFit="1" customWidth="1"/>
    <col min="8" max="8" width="10.77734375" bestFit="1" customWidth="1"/>
    <col min="9" max="9" width="11.6640625" bestFit="1" customWidth="1"/>
    <col min="10" max="10" width="10.77734375" bestFit="1" customWidth="1"/>
    <col min="11" max="11" width="11.6640625" bestFit="1" customWidth="1"/>
  </cols>
  <sheetData>
    <row r="2" spans="1:28" x14ac:dyDescent="0.25">
      <c r="N2">
        <v>2020</v>
      </c>
      <c r="P2">
        <v>2020</v>
      </c>
      <c r="Q2">
        <v>2021</v>
      </c>
      <c r="S2">
        <v>2021</v>
      </c>
      <c r="T2">
        <v>2022</v>
      </c>
      <c r="V2">
        <v>2022</v>
      </c>
      <c r="W2">
        <v>2023</v>
      </c>
      <c r="Y2">
        <v>2023</v>
      </c>
      <c r="Z2">
        <v>2024</v>
      </c>
      <c r="AB2">
        <v>2024</v>
      </c>
    </row>
    <row r="3" spans="1:28" x14ac:dyDescent="0.25">
      <c r="A3" s="21" t="s">
        <v>43</v>
      </c>
      <c r="B3" t="s">
        <v>45</v>
      </c>
      <c r="C3" t="s">
        <v>46</v>
      </c>
      <c r="D3" t="s">
        <v>47</v>
      </c>
      <c r="E3" t="s">
        <v>48</v>
      </c>
      <c r="F3" t="s">
        <v>49</v>
      </c>
      <c r="G3" t="s">
        <v>50</v>
      </c>
      <c r="H3" t="s">
        <v>51</v>
      </c>
      <c r="I3" t="s">
        <v>52</v>
      </c>
      <c r="J3" t="s">
        <v>53</v>
      </c>
      <c r="K3" t="s">
        <v>54</v>
      </c>
      <c r="M3" t="s">
        <v>55</v>
      </c>
      <c r="N3">
        <v>610</v>
      </c>
      <c r="O3">
        <v>549</v>
      </c>
      <c r="P3" s="22">
        <f>O3/N3</f>
        <v>0.9</v>
      </c>
      <c r="Q3">
        <v>598</v>
      </c>
      <c r="R3">
        <v>518</v>
      </c>
      <c r="S3" s="22">
        <f>R3/Q3</f>
        <v>0.86622073578595316</v>
      </c>
      <c r="T3">
        <v>602</v>
      </c>
      <c r="U3">
        <v>492</v>
      </c>
      <c r="V3" s="22">
        <f>U3/T3</f>
        <v>0.81727574750830567</v>
      </c>
      <c r="W3">
        <v>553</v>
      </c>
      <c r="X3">
        <v>489</v>
      </c>
      <c r="Y3" s="22">
        <f>X3/W3</f>
        <v>0.88426763110307416</v>
      </c>
      <c r="Z3">
        <v>555</v>
      </c>
      <c r="AA3">
        <v>512</v>
      </c>
      <c r="AB3" s="22">
        <f>AA3/Z3</f>
        <v>0.92252252252252254</v>
      </c>
    </row>
    <row r="4" spans="1:28" x14ac:dyDescent="0.25">
      <c r="A4" t="s">
        <v>41</v>
      </c>
      <c r="B4">
        <v>610</v>
      </c>
      <c r="C4">
        <v>549</v>
      </c>
      <c r="D4">
        <v>598</v>
      </c>
      <c r="E4">
        <v>518</v>
      </c>
      <c r="F4">
        <v>602</v>
      </c>
      <c r="G4">
        <v>492</v>
      </c>
      <c r="H4">
        <v>553</v>
      </c>
      <c r="I4">
        <v>489</v>
      </c>
      <c r="J4">
        <v>555</v>
      </c>
      <c r="K4">
        <v>512</v>
      </c>
      <c r="M4" t="s">
        <v>56</v>
      </c>
      <c r="N4">
        <v>662</v>
      </c>
      <c r="O4">
        <v>568</v>
      </c>
      <c r="P4" s="22">
        <f>O4/N4</f>
        <v>0.85800604229607247</v>
      </c>
      <c r="Q4">
        <v>716</v>
      </c>
      <c r="R4">
        <v>613</v>
      </c>
      <c r="S4" s="22">
        <f>R4/Q4</f>
        <v>0.8561452513966481</v>
      </c>
      <c r="T4">
        <v>767</v>
      </c>
      <c r="U4">
        <v>677</v>
      </c>
      <c r="V4" s="22">
        <f>U4/T4</f>
        <v>0.8826597131681877</v>
      </c>
      <c r="W4">
        <v>650</v>
      </c>
      <c r="X4">
        <v>597</v>
      </c>
      <c r="Y4" s="22">
        <f>X4/W4</f>
        <v>0.91846153846153844</v>
      </c>
      <c r="Z4">
        <v>706</v>
      </c>
      <c r="AA4">
        <v>648</v>
      </c>
      <c r="AB4" s="22">
        <f>AA4/Z4</f>
        <v>0.9178470254957507</v>
      </c>
    </row>
    <row r="5" spans="1:28" x14ac:dyDescent="0.25">
      <c r="A5" t="s">
        <v>40</v>
      </c>
      <c r="B5">
        <v>662</v>
      </c>
      <c r="C5">
        <v>568</v>
      </c>
      <c r="D5">
        <v>716</v>
      </c>
      <c r="E5">
        <v>613</v>
      </c>
      <c r="F5">
        <v>767</v>
      </c>
      <c r="G5">
        <v>677</v>
      </c>
      <c r="H5">
        <v>650</v>
      </c>
      <c r="I5">
        <v>597</v>
      </c>
      <c r="J5">
        <v>706</v>
      </c>
      <c r="K5">
        <v>648</v>
      </c>
    </row>
    <row r="6" spans="1:28" x14ac:dyDescent="0.25">
      <c r="A6" t="s">
        <v>44</v>
      </c>
      <c r="B6">
        <v>1272</v>
      </c>
      <c r="C6">
        <v>1117</v>
      </c>
      <c r="D6">
        <v>1314</v>
      </c>
      <c r="E6">
        <v>1131</v>
      </c>
      <c r="F6">
        <v>1369</v>
      </c>
      <c r="G6">
        <v>1169</v>
      </c>
      <c r="H6">
        <v>1203</v>
      </c>
      <c r="I6">
        <v>1086</v>
      </c>
      <c r="J6">
        <v>1261</v>
      </c>
      <c r="K6">
        <v>1160</v>
      </c>
    </row>
  </sheetData>
  <pageMargins left="0.7" right="0.7" top="0.75" bottom="0.75" header="0.3" footer="0.3"/>
  <pageSetup orientation="portrait" r:id="rId2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AD666-BFB0-4FAC-9447-7232B56E26AF}">
  <dimension ref="A3:B8"/>
  <sheetViews>
    <sheetView workbookViewId="0">
      <selection activeCell="A3" sqref="A3"/>
    </sheetView>
  </sheetViews>
  <sheetFormatPr defaultRowHeight="13.2" x14ac:dyDescent="0.25"/>
  <cols>
    <col min="1" max="1" width="12.77734375" bestFit="1" customWidth="1"/>
    <col min="2" max="2" width="20.21875" bestFit="1" customWidth="1"/>
    <col min="3" max="3" width="2.33203125" bestFit="1" customWidth="1"/>
    <col min="4" max="4" width="11.21875" bestFit="1" customWidth="1"/>
  </cols>
  <sheetData>
    <row r="3" spans="1:2" x14ac:dyDescent="0.25">
      <c r="A3" s="21" t="s">
        <v>43</v>
      </c>
      <c r="B3" t="s">
        <v>61</v>
      </c>
    </row>
    <row r="4" spans="1:2" x14ac:dyDescent="0.25">
      <c r="A4">
        <v>1</v>
      </c>
      <c r="B4">
        <v>5</v>
      </c>
    </row>
    <row r="5" spans="1:2" x14ac:dyDescent="0.25">
      <c r="A5">
        <v>2</v>
      </c>
      <c r="B5">
        <v>6</v>
      </c>
    </row>
    <row r="6" spans="1:2" x14ac:dyDescent="0.25">
      <c r="A6">
        <v>3</v>
      </c>
      <c r="B6">
        <v>11</v>
      </c>
    </row>
    <row r="7" spans="1:2" x14ac:dyDescent="0.25">
      <c r="A7">
        <v>4</v>
      </c>
      <c r="B7">
        <v>6</v>
      </c>
    </row>
    <row r="8" spans="1:2" x14ac:dyDescent="0.25">
      <c r="A8" t="s">
        <v>44</v>
      </c>
      <c r="B8">
        <v>28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E98"/>
  <sheetViews>
    <sheetView topLeftCell="C1" zoomScaleNormal="100" workbookViewId="0">
      <selection activeCell="G1" sqref="G1:I1048576"/>
    </sheetView>
  </sheetViews>
  <sheetFormatPr defaultRowHeight="15.75" customHeight="1" x14ac:dyDescent="0.25"/>
  <cols>
    <col min="1" max="1" width="28" customWidth="1"/>
    <col min="2" max="2" width="13.33203125" customWidth="1"/>
    <col min="3" max="3" width="16.6640625" customWidth="1"/>
    <col min="4" max="4" width="13.33203125" customWidth="1"/>
    <col min="5" max="5" width="15" customWidth="1"/>
    <col min="6" max="6" width="17.33203125" customWidth="1"/>
    <col min="7" max="7" width="6.77734375" customWidth="1"/>
    <col min="8" max="9" width="5.77734375" customWidth="1"/>
    <col min="10" max="10" width="6.77734375" customWidth="1"/>
    <col min="11" max="12" width="5.77734375" customWidth="1"/>
    <col min="13" max="13" width="6.77734375" customWidth="1"/>
    <col min="14" max="15" width="5.77734375" customWidth="1"/>
    <col min="16" max="16" width="6.77734375" customWidth="1"/>
    <col min="17" max="19" width="5.77734375" customWidth="1"/>
    <col min="20" max="20" width="6.77734375" customWidth="1"/>
    <col min="21" max="21" width="5.77734375" customWidth="1"/>
    <col min="22" max="22" width="32.77734375" customWidth="1"/>
    <col min="23" max="23" width="12.21875" customWidth="1"/>
    <col min="30" max="31" width="17.44140625" style="29" customWidth="1"/>
  </cols>
  <sheetData>
    <row r="1" spans="1:31" ht="15.75" customHeight="1" x14ac:dyDescent="0.3">
      <c r="A1" s="2" t="s">
        <v>42</v>
      </c>
      <c r="B1" s="2" t="s">
        <v>31</v>
      </c>
      <c r="C1" s="11" t="s">
        <v>62</v>
      </c>
      <c r="D1" s="11" t="s">
        <v>39</v>
      </c>
      <c r="E1" s="11" t="s">
        <v>37</v>
      </c>
      <c r="F1" s="2" t="s">
        <v>32</v>
      </c>
      <c r="G1" s="1" t="s">
        <v>0</v>
      </c>
      <c r="H1" s="1" t="s">
        <v>1</v>
      </c>
      <c r="I1" s="1" t="s">
        <v>2</v>
      </c>
      <c r="J1" s="1" t="s">
        <v>0</v>
      </c>
      <c r="K1" s="1" t="s">
        <v>1</v>
      </c>
      <c r="L1" s="1" t="s">
        <v>2</v>
      </c>
      <c r="M1" s="1" t="s">
        <v>0</v>
      </c>
      <c r="N1" s="1" t="s">
        <v>1</v>
      </c>
      <c r="O1" s="1" t="s">
        <v>2</v>
      </c>
      <c r="P1" s="1" t="s">
        <v>0</v>
      </c>
      <c r="Q1" s="1" t="s">
        <v>1</v>
      </c>
      <c r="R1" s="1" t="s">
        <v>2</v>
      </c>
      <c r="S1" s="1" t="s">
        <v>0</v>
      </c>
      <c r="T1" s="1" t="s">
        <v>1</v>
      </c>
      <c r="U1" s="15" t="s">
        <v>2</v>
      </c>
      <c r="V1" s="17"/>
      <c r="W1" t="s">
        <v>158</v>
      </c>
      <c r="AD1" s="26" t="s">
        <v>62</v>
      </c>
      <c r="AE1" s="26" t="s">
        <v>33</v>
      </c>
    </row>
    <row r="2" spans="1:31" ht="15.75" customHeight="1" x14ac:dyDescent="0.25">
      <c r="A2" s="4" t="s">
        <v>3</v>
      </c>
      <c r="B2" s="10">
        <v>3</v>
      </c>
      <c r="C2" s="10">
        <v>75</v>
      </c>
      <c r="D2" s="10" t="s">
        <v>40</v>
      </c>
      <c r="E2" s="10"/>
      <c r="F2" s="10"/>
      <c r="G2" s="5"/>
      <c r="H2" s="5"/>
      <c r="I2" s="5"/>
      <c r="J2" s="6">
        <v>11</v>
      </c>
      <c r="K2" s="6">
        <v>7</v>
      </c>
      <c r="L2" s="3">
        <v>64</v>
      </c>
      <c r="M2" s="6">
        <v>33</v>
      </c>
      <c r="N2" s="6">
        <v>19</v>
      </c>
      <c r="O2" s="3">
        <v>58</v>
      </c>
      <c r="P2" s="6">
        <v>19</v>
      </c>
      <c r="Q2" s="6">
        <v>11</v>
      </c>
      <c r="R2" s="3">
        <v>58</v>
      </c>
      <c r="S2" s="6">
        <v>11</v>
      </c>
      <c r="T2" s="6">
        <v>6</v>
      </c>
      <c r="U2" s="16">
        <v>55</v>
      </c>
      <c r="V2" s="17"/>
      <c r="W2" t="s">
        <v>137</v>
      </c>
      <c r="AD2" s="27">
        <v>1</v>
      </c>
      <c r="AE2" s="28" t="s">
        <v>63</v>
      </c>
    </row>
    <row r="3" spans="1:31" ht="15.75" customHeight="1" x14ac:dyDescent="0.25">
      <c r="A3" s="4" t="s">
        <v>4</v>
      </c>
      <c r="B3" s="10">
        <v>1</v>
      </c>
      <c r="C3" s="10">
        <v>7</v>
      </c>
      <c r="D3" s="10" t="s">
        <v>41</v>
      </c>
      <c r="E3" s="10"/>
      <c r="F3" s="10"/>
      <c r="G3" s="6">
        <v>46</v>
      </c>
      <c r="H3" s="6">
        <v>44</v>
      </c>
      <c r="I3" s="3">
        <v>96</v>
      </c>
      <c r="J3" s="6">
        <v>39</v>
      </c>
      <c r="K3" s="6">
        <v>36</v>
      </c>
      <c r="L3" s="3">
        <v>92</v>
      </c>
      <c r="M3" s="6">
        <v>55</v>
      </c>
      <c r="N3" s="6">
        <v>45</v>
      </c>
      <c r="O3" s="3">
        <v>81</v>
      </c>
      <c r="P3" s="6">
        <v>39</v>
      </c>
      <c r="Q3" s="6">
        <v>29</v>
      </c>
      <c r="R3" s="3">
        <v>74</v>
      </c>
      <c r="S3" s="6">
        <v>58</v>
      </c>
      <c r="T3" s="6">
        <v>52</v>
      </c>
      <c r="U3" s="13">
        <v>90</v>
      </c>
      <c r="V3" s="17"/>
      <c r="W3" t="s">
        <v>69</v>
      </c>
      <c r="AD3" s="27">
        <v>2</v>
      </c>
      <c r="AE3" s="28" t="s">
        <v>64</v>
      </c>
    </row>
    <row r="4" spans="1:31" ht="15.75" customHeight="1" x14ac:dyDescent="0.25">
      <c r="A4" s="4" t="s">
        <v>5</v>
      </c>
      <c r="B4" s="10">
        <v>2</v>
      </c>
      <c r="C4" s="10">
        <v>33</v>
      </c>
      <c r="D4" s="10" t="s">
        <v>40</v>
      </c>
      <c r="E4" s="10"/>
      <c r="F4" s="10"/>
      <c r="G4" s="6">
        <v>19</v>
      </c>
      <c r="H4" s="6">
        <v>17</v>
      </c>
      <c r="I4" s="3">
        <v>89</v>
      </c>
      <c r="J4" s="6">
        <v>18</v>
      </c>
      <c r="K4" s="6">
        <v>13</v>
      </c>
      <c r="L4" s="3">
        <v>72</v>
      </c>
      <c r="M4" s="6">
        <v>24</v>
      </c>
      <c r="N4" s="6">
        <v>22</v>
      </c>
      <c r="O4" s="3">
        <v>92</v>
      </c>
      <c r="P4" s="6">
        <v>48</v>
      </c>
      <c r="Q4" s="6">
        <v>40</v>
      </c>
      <c r="R4" s="3">
        <v>83</v>
      </c>
      <c r="S4" s="6">
        <v>100</v>
      </c>
      <c r="T4" s="6">
        <v>81</v>
      </c>
      <c r="U4" s="13">
        <v>81</v>
      </c>
      <c r="V4" s="17"/>
      <c r="W4" t="s">
        <v>95</v>
      </c>
      <c r="AD4" s="27">
        <v>3</v>
      </c>
      <c r="AE4" s="28" t="s">
        <v>65</v>
      </c>
    </row>
    <row r="5" spans="1:31" ht="15.75" customHeight="1" x14ac:dyDescent="0.25">
      <c r="A5" s="4" t="s">
        <v>6</v>
      </c>
      <c r="B5" s="10">
        <v>2</v>
      </c>
      <c r="C5" s="10">
        <v>33</v>
      </c>
      <c r="D5" s="10" t="s">
        <v>40</v>
      </c>
      <c r="E5" s="10"/>
      <c r="F5" s="10"/>
      <c r="G5" s="6">
        <v>30</v>
      </c>
      <c r="H5" s="6">
        <v>28</v>
      </c>
      <c r="I5" s="3">
        <v>93</v>
      </c>
      <c r="J5" s="6">
        <v>33</v>
      </c>
      <c r="K5" s="6">
        <v>28</v>
      </c>
      <c r="L5" s="3">
        <v>85</v>
      </c>
      <c r="M5" s="6">
        <v>35</v>
      </c>
      <c r="N5" s="6">
        <v>32</v>
      </c>
      <c r="O5" s="3">
        <v>91</v>
      </c>
      <c r="P5" s="6">
        <v>42</v>
      </c>
      <c r="Q5" s="6">
        <v>38</v>
      </c>
      <c r="R5" s="3">
        <v>90</v>
      </c>
      <c r="S5" s="6">
        <v>36</v>
      </c>
      <c r="T5" s="6">
        <v>29</v>
      </c>
      <c r="U5" s="13">
        <v>81</v>
      </c>
      <c r="V5" s="17"/>
      <c r="W5" t="s">
        <v>95</v>
      </c>
      <c r="AD5" s="27">
        <v>4</v>
      </c>
      <c r="AE5" s="28" t="s">
        <v>66</v>
      </c>
    </row>
    <row r="6" spans="1:31" ht="15.75" customHeight="1" x14ac:dyDescent="0.25">
      <c r="A6" s="4" t="s">
        <v>7</v>
      </c>
      <c r="B6" s="10">
        <v>3</v>
      </c>
      <c r="C6" s="10">
        <v>19</v>
      </c>
      <c r="D6" s="10" t="s">
        <v>40</v>
      </c>
      <c r="E6" s="10"/>
      <c r="F6" s="10"/>
      <c r="G6" s="7"/>
      <c r="H6" s="7"/>
      <c r="I6" s="8"/>
      <c r="J6" s="8"/>
      <c r="K6" s="8"/>
      <c r="L6" s="8"/>
      <c r="M6" s="8"/>
      <c r="N6" s="8"/>
      <c r="O6" s="31"/>
      <c r="P6" s="32"/>
      <c r="Q6" s="8"/>
      <c r="R6" s="8"/>
      <c r="S6" s="8"/>
      <c r="T6" s="8"/>
      <c r="U6" s="14"/>
      <c r="V6" s="18" t="s">
        <v>34</v>
      </c>
      <c r="W6" t="s">
        <v>81</v>
      </c>
      <c r="AD6" s="27">
        <v>5</v>
      </c>
      <c r="AE6" s="28" t="s">
        <v>67</v>
      </c>
    </row>
    <row r="7" spans="1:31" ht="15.75" customHeight="1" x14ac:dyDescent="0.25">
      <c r="A7" s="4" t="s">
        <v>8</v>
      </c>
      <c r="B7" s="10">
        <v>3</v>
      </c>
      <c r="C7" s="10">
        <v>19</v>
      </c>
      <c r="D7" s="10" t="s">
        <v>40</v>
      </c>
      <c r="E7" s="10" t="s">
        <v>38</v>
      </c>
      <c r="F7" s="10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6">
        <v>3</v>
      </c>
      <c r="T7" s="6">
        <v>3</v>
      </c>
      <c r="U7" s="13">
        <v>100</v>
      </c>
      <c r="V7" s="17"/>
      <c r="W7" t="s">
        <v>81</v>
      </c>
      <c r="AD7" s="27">
        <v>6</v>
      </c>
      <c r="AE7" s="28" t="s">
        <v>68</v>
      </c>
    </row>
    <row r="8" spans="1:31" ht="15.75" customHeight="1" x14ac:dyDescent="0.25">
      <c r="A8" s="4" t="s">
        <v>9</v>
      </c>
      <c r="B8" s="10">
        <v>4</v>
      </c>
      <c r="C8" s="10">
        <v>57</v>
      </c>
      <c r="D8" s="10" t="s">
        <v>40</v>
      </c>
      <c r="E8" s="10"/>
      <c r="F8" s="10"/>
      <c r="G8" s="6">
        <v>118</v>
      </c>
      <c r="H8" s="6">
        <v>82</v>
      </c>
      <c r="I8" s="3">
        <v>78</v>
      </c>
      <c r="J8" s="6">
        <v>114</v>
      </c>
      <c r="K8" s="6">
        <v>90</v>
      </c>
      <c r="L8" s="3">
        <v>79</v>
      </c>
      <c r="M8" s="6">
        <v>120</v>
      </c>
      <c r="N8" s="6">
        <v>107</v>
      </c>
      <c r="O8" s="3">
        <v>89</v>
      </c>
      <c r="P8" s="6">
        <v>92</v>
      </c>
      <c r="Q8" s="6">
        <v>89</v>
      </c>
      <c r="R8" s="3">
        <v>97</v>
      </c>
      <c r="S8" s="6">
        <v>93</v>
      </c>
      <c r="T8" s="6">
        <v>88</v>
      </c>
      <c r="U8" s="13">
        <v>95</v>
      </c>
      <c r="V8" s="17"/>
      <c r="W8" t="s">
        <v>119</v>
      </c>
      <c r="AD8" s="27">
        <v>7</v>
      </c>
      <c r="AE8" s="28" t="s">
        <v>69</v>
      </c>
    </row>
    <row r="9" spans="1:31" ht="15.75" customHeight="1" x14ac:dyDescent="0.25">
      <c r="A9" s="4" t="s">
        <v>10</v>
      </c>
      <c r="B9" s="10">
        <v>3</v>
      </c>
      <c r="C9" s="10">
        <v>28</v>
      </c>
      <c r="D9" s="10" t="s">
        <v>41</v>
      </c>
      <c r="E9" s="10" t="s">
        <v>38</v>
      </c>
      <c r="F9" s="10"/>
      <c r="G9" s="6">
        <v>41</v>
      </c>
      <c r="H9" s="6">
        <v>31</v>
      </c>
      <c r="I9" s="3">
        <v>76</v>
      </c>
      <c r="J9" s="6">
        <v>44</v>
      </c>
      <c r="K9" s="6">
        <v>39</v>
      </c>
      <c r="L9" s="3">
        <v>89</v>
      </c>
      <c r="M9" s="6">
        <v>47</v>
      </c>
      <c r="N9" s="6">
        <v>36</v>
      </c>
      <c r="O9" s="3">
        <v>77</v>
      </c>
      <c r="P9" s="6">
        <v>47</v>
      </c>
      <c r="Q9" s="6">
        <v>39</v>
      </c>
      <c r="R9" s="3">
        <v>83</v>
      </c>
      <c r="S9" s="6">
        <v>48</v>
      </c>
      <c r="T9" s="6">
        <v>45</v>
      </c>
      <c r="U9" s="13">
        <v>94</v>
      </c>
      <c r="V9" s="17"/>
      <c r="W9" t="s">
        <v>90</v>
      </c>
      <c r="AD9" s="27">
        <v>8</v>
      </c>
      <c r="AE9" s="28" t="s">
        <v>70</v>
      </c>
    </row>
    <row r="10" spans="1:31" ht="15.75" customHeight="1" x14ac:dyDescent="0.25">
      <c r="A10" s="4" t="s">
        <v>11</v>
      </c>
      <c r="B10" s="10">
        <v>3</v>
      </c>
      <c r="C10" s="10">
        <v>19</v>
      </c>
      <c r="D10" s="10" t="s">
        <v>40</v>
      </c>
      <c r="E10" s="10" t="s">
        <v>38</v>
      </c>
      <c r="F10" s="10"/>
      <c r="G10" s="6">
        <v>62</v>
      </c>
      <c r="H10" s="6">
        <v>57</v>
      </c>
      <c r="I10" s="3">
        <v>92</v>
      </c>
      <c r="J10" s="6">
        <v>90</v>
      </c>
      <c r="K10" s="6">
        <v>86</v>
      </c>
      <c r="L10" s="3">
        <v>96</v>
      </c>
      <c r="M10" s="6">
        <v>114</v>
      </c>
      <c r="N10" s="6">
        <v>109</v>
      </c>
      <c r="O10" s="3">
        <v>96</v>
      </c>
      <c r="P10" s="6">
        <v>90</v>
      </c>
      <c r="Q10" s="6">
        <v>85</v>
      </c>
      <c r="R10" s="3">
        <v>94</v>
      </c>
      <c r="S10" s="6">
        <v>102</v>
      </c>
      <c r="T10" s="6">
        <v>98</v>
      </c>
      <c r="U10" s="13">
        <v>96</v>
      </c>
      <c r="V10" s="18" t="s">
        <v>35</v>
      </c>
      <c r="W10" t="s">
        <v>81</v>
      </c>
      <c r="AD10" s="27">
        <v>9</v>
      </c>
      <c r="AE10" s="28" t="s">
        <v>71</v>
      </c>
    </row>
    <row r="11" spans="1:31" ht="15.75" customHeight="1" x14ac:dyDescent="0.25">
      <c r="A11" s="4" t="s">
        <v>12</v>
      </c>
      <c r="B11" s="10">
        <v>3</v>
      </c>
      <c r="C11" s="10">
        <v>75</v>
      </c>
      <c r="D11" s="10" t="s">
        <v>40</v>
      </c>
      <c r="E11" s="10"/>
      <c r="F11" s="10"/>
      <c r="G11" s="5"/>
      <c r="H11" s="5"/>
      <c r="I11" s="5"/>
      <c r="J11" s="6">
        <v>16</v>
      </c>
      <c r="K11" s="6">
        <v>15</v>
      </c>
      <c r="L11" s="3">
        <v>94</v>
      </c>
      <c r="M11" s="6">
        <v>14</v>
      </c>
      <c r="N11" s="6">
        <v>13</v>
      </c>
      <c r="O11" s="3">
        <v>93</v>
      </c>
      <c r="P11" s="6">
        <v>18</v>
      </c>
      <c r="Q11" s="6">
        <v>16</v>
      </c>
      <c r="R11" s="3">
        <v>89</v>
      </c>
      <c r="S11" s="6">
        <v>16</v>
      </c>
      <c r="T11" s="6">
        <v>15</v>
      </c>
      <c r="U11" s="13">
        <v>94</v>
      </c>
      <c r="V11" s="17"/>
      <c r="W11" t="s">
        <v>137</v>
      </c>
      <c r="AD11" s="27">
        <v>10</v>
      </c>
      <c r="AE11" s="28" t="s">
        <v>72</v>
      </c>
    </row>
    <row r="12" spans="1:31" ht="15.75" customHeight="1" x14ac:dyDescent="0.25">
      <c r="A12" s="4" t="s">
        <v>13</v>
      </c>
      <c r="B12" s="10">
        <v>2</v>
      </c>
      <c r="C12" s="10">
        <v>54</v>
      </c>
      <c r="D12" s="10" t="s">
        <v>41</v>
      </c>
      <c r="E12" s="10"/>
      <c r="F12" s="10"/>
      <c r="G12" s="6">
        <v>38</v>
      </c>
      <c r="H12" s="6">
        <v>38</v>
      </c>
      <c r="I12" s="3">
        <v>100</v>
      </c>
      <c r="J12" s="6">
        <v>31</v>
      </c>
      <c r="K12" s="6">
        <v>29</v>
      </c>
      <c r="L12" s="3">
        <v>94</v>
      </c>
      <c r="M12" s="6">
        <v>33</v>
      </c>
      <c r="N12" s="6">
        <v>32</v>
      </c>
      <c r="O12" s="3">
        <v>97</v>
      </c>
      <c r="P12" s="6">
        <v>34</v>
      </c>
      <c r="Q12" s="6">
        <v>32</v>
      </c>
      <c r="R12" s="3">
        <v>94</v>
      </c>
      <c r="S12" s="6">
        <v>50</v>
      </c>
      <c r="T12" s="6">
        <v>43</v>
      </c>
      <c r="U12" s="13">
        <v>86</v>
      </c>
      <c r="V12" s="17"/>
      <c r="W12" t="s">
        <v>116</v>
      </c>
      <c r="AD12" s="27">
        <v>11</v>
      </c>
      <c r="AE12" s="28" t="s">
        <v>73</v>
      </c>
    </row>
    <row r="13" spans="1:31" ht="15.75" customHeight="1" x14ac:dyDescent="0.25">
      <c r="A13" s="4" t="s">
        <v>14</v>
      </c>
      <c r="B13" s="10">
        <v>4</v>
      </c>
      <c r="C13" s="10">
        <v>36</v>
      </c>
      <c r="D13" s="10" t="s">
        <v>41</v>
      </c>
      <c r="E13" s="10"/>
      <c r="F13" s="10"/>
      <c r="G13" s="5"/>
      <c r="H13" s="5"/>
      <c r="I13" s="5"/>
      <c r="J13" s="5"/>
      <c r="K13" s="5"/>
      <c r="L13" s="5"/>
      <c r="M13" s="5"/>
      <c r="N13" s="5"/>
      <c r="O13" s="5"/>
      <c r="P13" s="6">
        <v>2</v>
      </c>
      <c r="Q13" s="6">
        <v>2</v>
      </c>
      <c r="R13" s="3">
        <v>100</v>
      </c>
      <c r="S13" s="6">
        <v>37</v>
      </c>
      <c r="T13" s="6">
        <v>35</v>
      </c>
      <c r="U13" s="13">
        <v>95</v>
      </c>
      <c r="V13" s="17"/>
      <c r="W13" t="s">
        <v>98</v>
      </c>
      <c r="AD13" s="27">
        <v>12</v>
      </c>
      <c r="AE13" s="28" t="s">
        <v>74</v>
      </c>
    </row>
    <row r="14" spans="1:31" ht="15.75" customHeight="1" x14ac:dyDescent="0.25">
      <c r="A14" s="4" t="s">
        <v>15</v>
      </c>
      <c r="B14" s="10">
        <v>3</v>
      </c>
      <c r="C14" s="10">
        <v>22</v>
      </c>
      <c r="D14" s="10" t="s">
        <v>40</v>
      </c>
      <c r="E14" s="10"/>
      <c r="F14" s="10"/>
      <c r="G14" s="6">
        <v>102</v>
      </c>
      <c r="H14" s="6">
        <v>80</v>
      </c>
      <c r="I14" s="3">
        <v>78</v>
      </c>
      <c r="J14" s="6">
        <v>101</v>
      </c>
      <c r="K14" s="6">
        <v>82</v>
      </c>
      <c r="L14" s="3">
        <v>81</v>
      </c>
      <c r="M14" s="6">
        <v>89</v>
      </c>
      <c r="N14" s="6">
        <v>84</v>
      </c>
      <c r="O14" s="3">
        <v>94</v>
      </c>
      <c r="P14" s="6">
        <v>48</v>
      </c>
      <c r="Q14" s="6">
        <v>44</v>
      </c>
      <c r="R14" s="3">
        <v>92</v>
      </c>
      <c r="S14" s="6">
        <v>49</v>
      </c>
      <c r="T14" s="6">
        <v>47</v>
      </c>
      <c r="U14" s="13">
        <v>96</v>
      </c>
      <c r="V14" s="17"/>
      <c r="W14" t="s">
        <v>84</v>
      </c>
      <c r="AD14" s="27">
        <v>13</v>
      </c>
      <c r="AE14" s="28" t="s">
        <v>75</v>
      </c>
    </row>
    <row r="15" spans="1:31" ht="15.75" customHeight="1" x14ac:dyDescent="0.25">
      <c r="A15" s="4" t="s">
        <v>16</v>
      </c>
      <c r="B15" s="10">
        <v>1</v>
      </c>
      <c r="C15" s="10">
        <v>10</v>
      </c>
      <c r="D15" s="10" t="s">
        <v>40</v>
      </c>
      <c r="E15" s="10"/>
      <c r="F15" s="10"/>
      <c r="G15" s="6">
        <v>117</v>
      </c>
      <c r="H15" s="6">
        <v>111</v>
      </c>
      <c r="I15" s="3">
        <v>95</v>
      </c>
      <c r="J15" s="6">
        <v>108</v>
      </c>
      <c r="K15" s="6">
        <v>95</v>
      </c>
      <c r="L15" s="3">
        <v>88</v>
      </c>
      <c r="M15" s="6">
        <v>83</v>
      </c>
      <c r="N15" s="6">
        <v>80</v>
      </c>
      <c r="O15" s="3">
        <v>96</v>
      </c>
      <c r="P15" s="6">
        <v>59</v>
      </c>
      <c r="Q15" s="6">
        <v>56</v>
      </c>
      <c r="R15" s="3">
        <v>95</v>
      </c>
      <c r="S15" s="6">
        <v>82</v>
      </c>
      <c r="T15" s="6">
        <v>81</v>
      </c>
      <c r="U15" s="13">
        <v>99</v>
      </c>
      <c r="V15" s="17"/>
      <c r="W15" t="s">
        <v>72</v>
      </c>
      <c r="AD15" s="27">
        <v>14</v>
      </c>
      <c r="AE15" s="28" t="s">
        <v>76</v>
      </c>
    </row>
    <row r="16" spans="1:31" ht="15.75" customHeight="1" x14ac:dyDescent="0.25">
      <c r="A16" s="9" t="s">
        <v>17</v>
      </c>
      <c r="B16" s="12">
        <v>1</v>
      </c>
      <c r="C16" s="12">
        <v>73</v>
      </c>
      <c r="D16" s="19" t="s">
        <v>41</v>
      </c>
      <c r="E16" s="12"/>
      <c r="F16" s="12"/>
      <c r="G16" s="6">
        <v>37</v>
      </c>
      <c r="H16" s="6">
        <v>36</v>
      </c>
      <c r="I16" s="3">
        <v>97</v>
      </c>
      <c r="J16" s="6">
        <v>30</v>
      </c>
      <c r="K16" s="6">
        <v>22</v>
      </c>
      <c r="L16" s="3">
        <v>73</v>
      </c>
      <c r="M16" s="6">
        <v>41</v>
      </c>
      <c r="N16" s="6">
        <v>30</v>
      </c>
      <c r="O16" s="3">
        <v>73</v>
      </c>
      <c r="P16" s="6">
        <v>7</v>
      </c>
      <c r="Q16" s="6">
        <v>7</v>
      </c>
      <c r="R16" s="3">
        <v>100</v>
      </c>
      <c r="S16" s="6">
        <v>28</v>
      </c>
      <c r="T16" s="6">
        <v>27</v>
      </c>
      <c r="U16" s="13">
        <v>96</v>
      </c>
      <c r="V16" s="17"/>
      <c r="W16" t="s">
        <v>135</v>
      </c>
      <c r="AD16" s="27">
        <v>15</v>
      </c>
      <c r="AE16" s="28" t="s">
        <v>77</v>
      </c>
    </row>
    <row r="17" spans="1:31" ht="15.75" customHeight="1" x14ac:dyDescent="0.25">
      <c r="A17" s="4" t="s">
        <v>18</v>
      </c>
      <c r="B17" s="10">
        <v>3</v>
      </c>
      <c r="C17" s="10">
        <v>85</v>
      </c>
      <c r="D17" s="20" t="s">
        <v>40</v>
      </c>
      <c r="E17" s="10"/>
      <c r="F17" s="10"/>
      <c r="G17" s="6">
        <v>40</v>
      </c>
      <c r="H17" s="6">
        <v>39</v>
      </c>
      <c r="I17" s="3">
        <v>98</v>
      </c>
      <c r="J17" s="6">
        <v>36</v>
      </c>
      <c r="K17" s="6">
        <v>32</v>
      </c>
      <c r="L17" s="3">
        <v>89</v>
      </c>
      <c r="M17" s="6">
        <v>41</v>
      </c>
      <c r="N17" s="6">
        <v>37</v>
      </c>
      <c r="O17" s="3">
        <v>90</v>
      </c>
      <c r="P17" s="6">
        <v>44</v>
      </c>
      <c r="Q17" s="6">
        <v>40</v>
      </c>
      <c r="R17" s="3">
        <v>91</v>
      </c>
      <c r="S17" s="6">
        <v>36</v>
      </c>
      <c r="T17" s="6">
        <v>35</v>
      </c>
      <c r="U17" s="13">
        <v>97</v>
      </c>
      <c r="V17" s="18" t="s">
        <v>36</v>
      </c>
      <c r="W17" t="s">
        <v>147</v>
      </c>
      <c r="AD17" s="27">
        <v>16</v>
      </c>
      <c r="AE17" s="28" t="s">
        <v>78</v>
      </c>
    </row>
    <row r="18" spans="1:31" ht="15.75" customHeight="1" x14ac:dyDescent="0.25">
      <c r="A18" s="9" t="s">
        <v>19</v>
      </c>
      <c r="B18" s="12">
        <v>4</v>
      </c>
      <c r="C18" s="12">
        <v>40</v>
      </c>
      <c r="D18" s="19" t="s">
        <v>41</v>
      </c>
      <c r="E18" s="12"/>
      <c r="F18" s="12"/>
      <c r="G18" s="6">
        <v>38</v>
      </c>
      <c r="H18" s="6">
        <v>36</v>
      </c>
      <c r="I18" s="3">
        <v>95</v>
      </c>
      <c r="J18" s="6">
        <v>40</v>
      </c>
      <c r="K18" s="6">
        <v>37</v>
      </c>
      <c r="L18" s="3">
        <v>93</v>
      </c>
      <c r="M18" s="6">
        <v>34</v>
      </c>
      <c r="N18" s="6">
        <v>32</v>
      </c>
      <c r="O18" s="3">
        <v>94</v>
      </c>
      <c r="P18" s="6">
        <v>37</v>
      </c>
      <c r="Q18" s="6">
        <v>31</v>
      </c>
      <c r="R18" s="3">
        <v>84</v>
      </c>
      <c r="S18" s="6">
        <v>36</v>
      </c>
      <c r="T18" s="6">
        <v>32</v>
      </c>
      <c r="U18" s="13">
        <v>89</v>
      </c>
      <c r="V18" s="17"/>
      <c r="W18" t="s">
        <v>102</v>
      </c>
      <c r="AD18" s="27">
        <v>17</v>
      </c>
      <c r="AE18" s="28" t="s">
        <v>79</v>
      </c>
    </row>
    <row r="19" spans="1:31" ht="15.75" customHeight="1" x14ac:dyDescent="0.25">
      <c r="A19" s="4" t="s">
        <v>20</v>
      </c>
      <c r="B19" s="10">
        <v>3</v>
      </c>
      <c r="C19" s="10">
        <v>51</v>
      </c>
      <c r="D19" s="20" t="s">
        <v>41</v>
      </c>
      <c r="E19" s="10"/>
      <c r="F19" s="10"/>
      <c r="G19" s="6">
        <v>48</v>
      </c>
      <c r="H19" s="6">
        <v>42</v>
      </c>
      <c r="I19" s="3">
        <v>88</v>
      </c>
      <c r="J19" s="6">
        <v>47</v>
      </c>
      <c r="K19" s="6">
        <v>41</v>
      </c>
      <c r="L19" s="3">
        <v>87</v>
      </c>
      <c r="M19" s="6">
        <v>33</v>
      </c>
      <c r="N19" s="6">
        <v>28</v>
      </c>
      <c r="O19" s="3">
        <v>85</v>
      </c>
      <c r="P19" s="6">
        <v>56</v>
      </c>
      <c r="Q19" s="6">
        <v>47</v>
      </c>
      <c r="R19" s="3">
        <v>84</v>
      </c>
      <c r="S19" s="6">
        <v>39</v>
      </c>
      <c r="T19" s="6">
        <v>37</v>
      </c>
      <c r="U19" s="13">
        <v>95</v>
      </c>
      <c r="V19" s="17"/>
      <c r="W19" t="s">
        <v>113</v>
      </c>
      <c r="AD19" s="27">
        <v>18</v>
      </c>
      <c r="AE19" s="28" t="s">
        <v>80</v>
      </c>
    </row>
    <row r="20" spans="1:31" ht="15.75" customHeight="1" x14ac:dyDescent="0.25">
      <c r="A20" s="4" t="s">
        <v>21</v>
      </c>
      <c r="B20" s="10">
        <v>1</v>
      </c>
      <c r="C20" s="10">
        <v>47</v>
      </c>
      <c r="D20" s="20" t="s">
        <v>40</v>
      </c>
      <c r="E20" s="10"/>
      <c r="F20" s="10"/>
      <c r="G20" s="6">
        <v>84</v>
      </c>
      <c r="H20" s="6">
        <v>69</v>
      </c>
      <c r="I20" s="3">
        <v>82</v>
      </c>
      <c r="J20" s="6">
        <v>83</v>
      </c>
      <c r="K20" s="6">
        <v>69</v>
      </c>
      <c r="L20" s="3">
        <v>83</v>
      </c>
      <c r="M20" s="6">
        <v>114</v>
      </c>
      <c r="N20" s="6">
        <v>91</v>
      </c>
      <c r="O20" s="3">
        <v>80</v>
      </c>
      <c r="P20" s="6">
        <v>87</v>
      </c>
      <c r="Q20" s="6">
        <v>83</v>
      </c>
      <c r="R20" s="3">
        <v>95</v>
      </c>
      <c r="S20" s="6">
        <v>87</v>
      </c>
      <c r="T20" s="6">
        <v>84</v>
      </c>
      <c r="U20" s="13">
        <v>97</v>
      </c>
      <c r="V20" s="17"/>
      <c r="W20" t="s">
        <v>109</v>
      </c>
      <c r="AD20" s="27">
        <v>19</v>
      </c>
      <c r="AE20" s="28" t="s">
        <v>81</v>
      </c>
    </row>
    <row r="21" spans="1:31" ht="15.75" customHeight="1" x14ac:dyDescent="0.25">
      <c r="A21" s="4" t="s">
        <v>22</v>
      </c>
      <c r="B21" s="10">
        <v>2</v>
      </c>
      <c r="C21" s="10">
        <v>67</v>
      </c>
      <c r="D21" s="20" t="s">
        <v>41</v>
      </c>
      <c r="E21" s="10"/>
      <c r="F21" s="10"/>
      <c r="G21" s="6">
        <v>82</v>
      </c>
      <c r="H21" s="6">
        <v>73</v>
      </c>
      <c r="I21" s="3">
        <v>89</v>
      </c>
      <c r="J21" s="6">
        <v>42</v>
      </c>
      <c r="K21" s="6">
        <v>37</v>
      </c>
      <c r="L21" s="3">
        <v>88</v>
      </c>
      <c r="M21" s="6">
        <v>53</v>
      </c>
      <c r="N21" s="6">
        <v>44</v>
      </c>
      <c r="O21" s="3">
        <v>83</v>
      </c>
      <c r="P21" s="6">
        <v>71</v>
      </c>
      <c r="Q21" s="6">
        <v>64</v>
      </c>
      <c r="R21" s="3">
        <v>90</v>
      </c>
      <c r="S21" s="6">
        <v>65</v>
      </c>
      <c r="T21" s="6">
        <v>60</v>
      </c>
      <c r="U21" s="13">
        <v>92</v>
      </c>
      <c r="V21" s="17"/>
      <c r="W21" t="s">
        <v>129</v>
      </c>
      <c r="AD21" s="27">
        <v>20</v>
      </c>
      <c r="AE21" s="28" t="s">
        <v>82</v>
      </c>
    </row>
    <row r="22" spans="1:31" ht="15.75" customHeight="1" x14ac:dyDescent="0.25">
      <c r="A22" s="4" t="s">
        <v>23</v>
      </c>
      <c r="B22" s="10">
        <v>4</v>
      </c>
      <c r="C22" s="10">
        <v>79</v>
      </c>
      <c r="D22" s="20" t="s">
        <v>40</v>
      </c>
      <c r="E22" s="10"/>
      <c r="F22" s="10"/>
      <c r="G22" s="6">
        <v>27</v>
      </c>
      <c r="H22" s="6">
        <v>26</v>
      </c>
      <c r="I22" s="3">
        <v>96</v>
      </c>
      <c r="J22" s="6">
        <v>44</v>
      </c>
      <c r="K22" s="6">
        <v>39</v>
      </c>
      <c r="L22" s="3">
        <v>89</v>
      </c>
      <c r="M22" s="6">
        <v>33</v>
      </c>
      <c r="N22" s="6">
        <v>23</v>
      </c>
      <c r="O22" s="3">
        <v>70</v>
      </c>
      <c r="P22" s="6">
        <v>46</v>
      </c>
      <c r="Q22" s="6">
        <v>40</v>
      </c>
      <c r="R22" s="3">
        <v>87</v>
      </c>
      <c r="S22" s="6">
        <v>50</v>
      </c>
      <c r="T22" s="6">
        <v>41</v>
      </c>
      <c r="U22" s="13">
        <v>82</v>
      </c>
      <c r="V22" s="17"/>
      <c r="W22" t="s">
        <v>141</v>
      </c>
      <c r="AD22" s="27">
        <v>21</v>
      </c>
      <c r="AE22" s="28" t="s">
        <v>83</v>
      </c>
    </row>
    <row r="23" spans="1:31" ht="15.75" customHeight="1" x14ac:dyDescent="0.25">
      <c r="A23" s="4" t="s">
        <v>24</v>
      </c>
      <c r="B23" s="10">
        <v>1</v>
      </c>
      <c r="C23" s="10">
        <v>32</v>
      </c>
      <c r="D23" s="20" t="s">
        <v>41</v>
      </c>
      <c r="E23" s="10"/>
      <c r="F23" s="10"/>
      <c r="G23" s="6">
        <v>58</v>
      </c>
      <c r="H23" s="6">
        <v>53</v>
      </c>
      <c r="I23" s="3">
        <v>91</v>
      </c>
      <c r="J23" s="6">
        <v>64</v>
      </c>
      <c r="K23" s="6">
        <v>58</v>
      </c>
      <c r="L23" s="3">
        <v>91</v>
      </c>
      <c r="M23" s="6">
        <v>66</v>
      </c>
      <c r="N23" s="6">
        <v>55</v>
      </c>
      <c r="O23" s="3">
        <v>83</v>
      </c>
      <c r="P23" s="6">
        <v>62</v>
      </c>
      <c r="Q23" s="6">
        <v>59</v>
      </c>
      <c r="R23" s="3">
        <v>95</v>
      </c>
      <c r="S23" s="6">
        <v>56</v>
      </c>
      <c r="T23" s="6">
        <v>54</v>
      </c>
      <c r="U23" s="13">
        <v>96</v>
      </c>
      <c r="V23" s="17"/>
      <c r="W23" t="s">
        <v>94</v>
      </c>
      <c r="AD23" s="27">
        <v>22</v>
      </c>
      <c r="AE23" s="28" t="s">
        <v>84</v>
      </c>
    </row>
    <row r="24" spans="1:31" ht="15.75" customHeight="1" x14ac:dyDescent="0.25">
      <c r="A24" s="4" t="s">
        <v>25</v>
      </c>
      <c r="B24" s="10">
        <v>3</v>
      </c>
      <c r="C24" s="10">
        <v>19</v>
      </c>
      <c r="D24" s="20" t="s">
        <v>40</v>
      </c>
      <c r="E24" s="10"/>
      <c r="F24" s="10"/>
      <c r="G24" s="6">
        <v>63</v>
      </c>
      <c r="H24" s="6">
        <v>59</v>
      </c>
      <c r="I24" s="3">
        <v>94</v>
      </c>
      <c r="J24" s="6">
        <v>62</v>
      </c>
      <c r="K24" s="6">
        <v>57</v>
      </c>
      <c r="L24" s="3">
        <v>92</v>
      </c>
      <c r="M24" s="6">
        <v>67</v>
      </c>
      <c r="N24" s="6">
        <v>60</v>
      </c>
      <c r="O24" s="3">
        <v>90</v>
      </c>
      <c r="P24" s="6">
        <v>57</v>
      </c>
      <c r="Q24" s="6">
        <v>55</v>
      </c>
      <c r="R24" s="3">
        <v>96</v>
      </c>
      <c r="S24" s="6">
        <v>41</v>
      </c>
      <c r="T24" s="6">
        <v>40</v>
      </c>
      <c r="U24" s="13">
        <v>98</v>
      </c>
      <c r="V24" s="17"/>
      <c r="W24" t="s">
        <v>81</v>
      </c>
      <c r="AD24" s="27">
        <v>23</v>
      </c>
      <c r="AE24" s="28" t="s">
        <v>85</v>
      </c>
    </row>
    <row r="25" spans="1:31" ht="15.75" customHeight="1" x14ac:dyDescent="0.25">
      <c r="A25" s="9" t="s">
        <v>26</v>
      </c>
      <c r="B25" s="12">
        <v>4</v>
      </c>
      <c r="C25" s="12">
        <v>23</v>
      </c>
      <c r="D25" s="19" t="s">
        <v>41</v>
      </c>
      <c r="E25" s="12"/>
      <c r="F25" s="12"/>
      <c r="G25" s="6">
        <v>110</v>
      </c>
      <c r="H25" s="6">
        <v>89</v>
      </c>
      <c r="I25" s="3">
        <v>81</v>
      </c>
      <c r="J25" s="6">
        <v>128</v>
      </c>
      <c r="K25" s="6">
        <v>105</v>
      </c>
      <c r="L25" s="3">
        <v>82</v>
      </c>
      <c r="M25" s="6">
        <v>109</v>
      </c>
      <c r="N25" s="6">
        <v>79</v>
      </c>
      <c r="O25" s="3">
        <v>72</v>
      </c>
      <c r="P25" s="6">
        <v>78</v>
      </c>
      <c r="Q25" s="6">
        <v>73</v>
      </c>
      <c r="R25" s="3">
        <v>94</v>
      </c>
      <c r="S25" s="6">
        <v>44</v>
      </c>
      <c r="T25" s="6">
        <v>38</v>
      </c>
      <c r="U25" s="13">
        <v>86</v>
      </c>
      <c r="V25" s="17"/>
      <c r="W25" t="s">
        <v>85</v>
      </c>
      <c r="AD25" s="27">
        <v>24</v>
      </c>
      <c r="AE25" s="28" t="s">
        <v>86</v>
      </c>
    </row>
    <row r="26" spans="1:31" ht="15.75" customHeight="1" x14ac:dyDescent="0.25">
      <c r="A26" s="9" t="s">
        <v>27</v>
      </c>
      <c r="B26" s="12">
        <v>2</v>
      </c>
      <c r="C26" s="12">
        <v>18</v>
      </c>
      <c r="D26" s="19" t="s">
        <v>41</v>
      </c>
      <c r="E26" s="12"/>
      <c r="F26" s="12"/>
      <c r="G26" s="6">
        <v>37</v>
      </c>
      <c r="H26" s="6">
        <v>36</v>
      </c>
      <c r="I26" s="3">
        <v>97</v>
      </c>
      <c r="J26" s="6">
        <v>60</v>
      </c>
      <c r="K26" s="6">
        <v>50</v>
      </c>
      <c r="L26" s="3">
        <v>83</v>
      </c>
      <c r="M26" s="6">
        <v>46</v>
      </c>
      <c r="N26" s="6">
        <v>40</v>
      </c>
      <c r="O26" s="3">
        <v>87</v>
      </c>
      <c r="P26" s="6">
        <v>37</v>
      </c>
      <c r="Q26" s="6">
        <v>32</v>
      </c>
      <c r="R26" s="3">
        <v>86</v>
      </c>
      <c r="S26" s="6">
        <v>47</v>
      </c>
      <c r="T26" s="6">
        <v>43</v>
      </c>
      <c r="U26" s="13">
        <v>91</v>
      </c>
      <c r="V26" s="17"/>
      <c r="W26" t="s">
        <v>80</v>
      </c>
      <c r="AD26" s="27">
        <v>25</v>
      </c>
      <c r="AE26" s="28" t="s">
        <v>87</v>
      </c>
    </row>
    <row r="27" spans="1:31" ht="15.75" customHeight="1" x14ac:dyDescent="0.25">
      <c r="A27" s="4" t="s">
        <v>28</v>
      </c>
      <c r="B27" s="10">
        <v>3</v>
      </c>
      <c r="C27" s="10">
        <v>2</v>
      </c>
      <c r="D27" s="20" t="s">
        <v>41</v>
      </c>
      <c r="E27" s="10"/>
      <c r="F27" s="10"/>
      <c r="G27" s="6">
        <v>72</v>
      </c>
      <c r="H27" s="6">
        <v>68</v>
      </c>
      <c r="I27" s="3">
        <v>94</v>
      </c>
      <c r="J27" s="6">
        <v>59</v>
      </c>
      <c r="K27" s="6">
        <v>57</v>
      </c>
      <c r="L27" s="3">
        <v>97</v>
      </c>
      <c r="M27" s="6">
        <v>72</v>
      </c>
      <c r="N27" s="6">
        <v>64</v>
      </c>
      <c r="O27" s="3">
        <v>89</v>
      </c>
      <c r="P27" s="6">
        <v>66</v>
      </c>
      <c r="Q27" s="6">
        <v>64</v>
      </c>
      <c r="R27" s="3">
        <v>97</v>
      </c>
      <c r="S27" s="6">
        <v>44</v>
      </c>
      <c r="T27" s="6">
        <v>43</v>
      </c>
      <c r="U27" s="13">
        <v>98</v>
      </c>
      <c r="V27" s="17"/>
      <c r="W27" t="s">
        <v>64</v>
      </c>
      <c r="AD27" s="27">
        <v>26</v>
      </c>
      <c r="AE27" s="28" t="s">
        <v>88</v>
      </c>
    </row>
    <row r="28" spans="1:31" ht="15.75" customHeight="1" x14ac:dyDescent="0.25">
      <c r="A28" s="4" t="s">
        <v>29</v>
      </c>
      <c r="B28" s="10">
        <v>2</v>
      </c>
      <c r="C28" s="10">
        <v>33</v>
      </c>
      <c r="D28" s="20" t="s">
        <v>40</v>
      </c>
      <c r="E28" s="10"/>
      <c r="F28" s="10"/>
      <c r="G28" s="7"/>
      <c r="H28" s="7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14"/>
      <c r="V28" s="17"/>
      <c r="W28" t="s">
        <v>95</v>
      </c>
      <c r="AD28" s="27">
        <v>27</v>
      </c>
      <c r="AE28" s="28" t="s">
        <v>89</v>
      </c>
    </row>
    <row r="29" spans="1:31" ht="15.75" customHeight="1" x14ac:dyDescent="0.25">
      <c r="A29" s="4" t="s">
        <v>30</v>
      </c>
      <c r="B29" s="10">
        <v>4</v>
      </c>
      <c r="C29" s="10">
        <v>79</v>
      </c>
      <c r="D29" s="20" t="s">
        <v>41</v>
      </c>
      <c r="E29" s="10"/>
      <c r="F29" s="10"/>
      <c r="G29" s="6">
        <v>3</v>
      </c>
      <c r="H29" s="6">
        <v>3</v>
      </c>
      <c r="I29" s="3">
        <v>100</v>
      </c>
      <c r="J29" s="6">
        <v>14</v>
      </c>
      <c r="K29" s="6">
        <v>7</v>
      </c>
      <c r="L29" s="3">
        <v>50</v>
      </c>
      <c r="M29" s="6">
        <v>13</v>
      </c>
      <c r="N29" s="6">
        <v>7</v>
      </c>
      <c r="O29" s="3">
        <v>54</v>
      </c>
      <c r="P29" s="6">
        <v>17</v>
      </c>
      <c r="Q29" s="6">
        <v>10</v>
      </c>
      <c r="R29" s="3">
        <v>59</v>
      </c>
      <c r="S29" s="6">
        <v>3</v>
      </c>
      <c r="T29" s="6">
        <v>3</v>
      </c>
      <c r="U29" s="13">
        <v>100</v>
      </c>
      <c r="V29" s="17"/>
      <c r="W29" t="s">
        <v>141</v>
      </c>
      <c r="AD29" s="27">
        <v>28</v>
      </c>
      <c r="AE29" s="28" t="s">
        <v>90</v>
      </c>
    </row>
    <row r="30" spans="1:31" ht="15.75" customHeight="1" x14ac:dyDescent="0.25">
      <c r="AD30" s="27">
        <v>29</v>
      </c>
      <c r="AE30" s="28" t="s">
        <v>91</v>
      </c>
    </row>
    <row r="31" spans="1:31" ht="15.75" customHeight="1" x14ac:dyDescent="0.25">
      <c r="AD31" s="27">
        <v>30</v>
      </c>
      <c r="AE31" s="28" t="s">
        <v>92</v>
      </c>
    </row>
    <row r="32" spans="1:31" ht="15.75" customHeight="1" x14ac:dyDescent="0.25">
      <c r="AD32" s="27">
        <v>31</v>
      </c>
      <c r="AE32" s="28" t="s">
        <v>93</v>
      </c>
    </row>
    <row r="33" spans="30:31" ht="15.75" customHeight="1" x14ac:dyDescent="0.25">
      <c r="AD33" s="27">
        <v>32</v>
      </c>
      <c r="AE33" s="28" t="s">
        <v>94</v>
      </c>
    </row>
    <row r="34" spans="30:31" ht="15.75" customHeight="1" x14ac:dyDescent="0.25">
      <c r="AD34" s="27">
        <v>33</v>
      </c>
      <c r="AE34" s="28" t="s">
        <v>95</v>
      </c>
    </row>
    <row r="35" spans="30:31" ht="15.75" customHeight="1" x14ac:dyDescent="0.25">
      <c r="AD35" s="27">
        <v>34</v>
      </c>
      <c r="AE35" s="28" t="s">
        <v>96</v>
      </c>
    </row>
    <row r="36" spans="30:31" ht="15.75" customHeight="1" x14ac:dyDescent="0.25">
      <c r="AD36" s="27">
        <v>35</v>
      </c>
      <c r="AE36" s="28" t="s">
        <v>97</v>
      </c>
    </row>
    <row r="37" spans="30:31" ht="15.75" customHeight="1" x14ac:dyDescent="0.25">
      <c r="AD37" s="27">
        <v>36</v>
      </c>
      <c r="AE37" s="28" t="s">
        <v>98</v>
      </c>
    </row>
    <row r="38" spans="30:31" ht="15.75" customHeight="1" x14ac:dyDescent="0.25">
      <c r="AD38" s="27">
        <v>37</v>
      </c>
      <c r="AE38" s="28" t="s">
        <v>99</v>
      </c>
    </row>
    <row r="39" spans="30:31" ht="15.75" customHeight="1" x14ac:dyDescent="0.25">
      <c r="AD39" s="27">
        <v>38</v>
      </c>
      <c r="AE39" s="28" t="s">
        <v>100</v>
      </c>
    </row>
    <row r="40" spans="30:31" ht="15.75" customHeight="1" x14ac:dyDescent="0.25">
      <c r="AD40" s="27">
        <v>39</v>
      </c>
      <c r="AE40" s="28" t="s">
        <v>101</v>
      </c>
    </row>
    <row r="41" spans="30:31" ht="15.75" customHeight="1" x14ac:dyDescent="0.25">
      <c r="AD41" s="27">
        <v>40</v>
      </c>
      <c r="AE41" s="28" t="s">
        <v>102</v>
      </c>
    </row>
    <row r="42" spans="30:31" ht="15.75" customHeight="1" x14ac:dyDescent="0.25">
      <c r="AD42" s="27">
        <v>41</v>
      </c>
      <c r="AE42" s="28" t="s">
        <v>103</v>
      </c>
    </row>
    <row r="43" spans="30:31" ht="15.75" customHeight="1" x14ac:dyDescent="0.25">
      <c r="AD43" s="27">
        <v>42</v>
      </c>
      <c r="AE43" s="28" t="s">
        <v>104</v>
      </c>
    </row>
    <row r="44" spans="30:31" ht="15.75" customHeight="1" x14ac:dyDescent="0.25">
      <c r="AD44" s="27">
        <v>43</v>
      </c>
      <c r="AE44" s="28" t="s">
        <v>105</v>
      </c>
    </row>
    <row r="45" spans="30:31" ht="15.75" customHeight="1" x14ac:dyDescent="0.25">
      <c r="AD45" s="27">
        <v>44</v>
      </c>
      <c r="AE45" s="28" t="s">
        <v>106</v>
      </c>
    </row>
    <row r="46" spans="30:31" ht="15.75" customHeight="1" x14ac:dyDescent="0.25">
      <c r="AD46" s="27">
        <v>45</v>
      </c>
      <c r="AE46" s="28" t="s">
        <v>107</v>
      </c>
    </row>
    <row r="47" spans="30:31" ht="15.75" customHeight="1" x14ac:dyDescent="0.25">
      <c r="AD47" s="27">
        <v>46</v>
      </c>
      <c r="AE47" s="28" t="s">
        <v>108</v>
      </c>
    </row>
    <row r="48" spans="30:31" ht="15.75" customHeight="1" x14ac:dyDescent="0.25">
      <c r="AD48" s="27">
        <v>47</v>
      </c>
      <c r="AE48" s="28" t="s">
        <v>109</v>
      </c>
    </row>
    <row r="49" spans="30:31" ht="15.75" customHeight="1" x14ac:dyDescent="0.25">
      <c r="AD49" s="27">
        <v>48</v>
      </c>
      <c r="AE49" s="28" t="s">
        <v>110</v>
      </c>
    </row>
    <row r="50" spans="30:31" ht="15.75" customHeight="1" x14ac:dyDescent="0.25">
      <c r="AD50" s="27">
        <v>49</v>
      </c>
      <c r="AE50" s="28" t="s">
        <v>111</v>
      </c>
    </row>
    <row r="51" spans="30:31" ht="15.75" customHeight="1" x14ac:dyDescent="0.25">
      <c r="AD51" s="27">
        <v>50</v>
      </c>
      <c r="AE51" s="28" t="s">
        <v>112</v>
      </c>
    </row>
    <row r="52" spans="30:31" ht="15.75" customHeight="1" x14ac:dyDescent="0.25">
      <c r="AD52" s="27">
        <v>51</v>
      </c>
      <c r="AE52" s="28" t="s">
        <v>113</v>
      </c>
    </row>
    <row r="53" spans="30:31" ht="15.75" customHeight="1" x14ac:dyDescent="0.25">
      <c r="AD53" s="27">
        <v>52</v>
      </c>
      <c r="AE53" s="28" t="s">
        <v>114</v>
      </c>
    </row>
    <row r="54" spans="30:31" ht="15.75" customHeight="1" x14ac:dyDescent="0.25">
      <c r="AD54" s="27">
        <v>53</v>
      </c>
      <c r="AE54" s="28" t="s">
        <v>115</v>
      </c>
    </row>
    <row r="55" spans="30:31" ht="15.75" customHeight="1" x14ac:dyDescent="0.25">
      <c r="AD55" s="27">
        <v>54</v>
      </c>
      <c r="AE55" s="28" t="s">
        <v>116</v>
      </c>
    </row>
    <row r="56" spans="30:31" ht="15.75" customHeight="1" x14ac:dyDescent="0.25">
      <c r="AD56" s="27">
        <v>55</v>
      </c>
      <c r="AE56" s="28" t="s">
        <v>117</v>
      </c>
    </row>
    <row r="57" spans="30:31" ht="15.75" customHeight="1" x14ac:dyDescent="0.25">
      <c r="AD57" s="27">
        <v>56</v>
      </c>
      <c r="AE57" s="28" t="s">
        <v>118</v>
      </c>
    </row>
    <row r="58" spans="30:31" ht="15.75" customHeight="1" x14ac:dyDescent="0.25">
      <c r="AD58" s="27">
        <v>57</v>
      </c>
      <c r="AE58" s="28" t="s">
        <v>119</v>
      </c>
    </row>
    <row r="59" spans="30:31" ht="15.75" customHeight="1" x14ac:dyDescent="0.25">
      <c r="AD59" s="27">
        <v>58</v>
      </c>
      <c r="AE59" s="28" t="s">
        <v>120</v>
      </c>
    </row>
    <row r="60" spans="30:31" ht="15.75" customHeight="1" x14ac:dyDescent="0.25">
      <c r="AD60" s="27">
        <v>59</v>
      </c>
      <c r="AE60" s="28" t="s">
        <v>121</v>
      </c>
    </row>
    <row r="61" spans="30:31" ht="15.75" customHeight="1" x14ac:dyDescent="0.25">
      <c r="AD61" s="27">
        <v>60</v>
      </c>
      <c r="AE61" s="28" t="s">
        <v>122</v>
      </c>
    </row>
    <row r="62" spans="30:31" ht="15.75" customHeight="1" x14ac:dyDescent="0.25">
      <c r="AD62" s="27">
        <v>61</v>
      </c>
      <c r="AE62" s="28" t="s">
        <v>123</v>
      </c>
    </row>
    <row r="63" spans="30:31" ht="15.75" customHeight="1" x14ac:dyDescent="0.25">
      <c r="AD63" s="27">
        <v>62</v>
      </c>
      <c r="AE63" s="28" t="s">
        <v>124</v>
      </c>
    </row>
    <row r="64" spans="30:31" ht="15.75" customHeight="1" x14ac:dyDescent="0.25">
      <c r="AD64" s="27">
        <v>63</v>
      </c>
      <c r="AE64" s="28" t="s">
        <v>125</v>
      </c>
    </row>
    <row r="65" spans="30:31" ht="15.75" customHeight="1" x14ac:dyDescent="0.25">
      <c r="AD65" s="27">
        <v>64</v>
      </c>
      <c r="AE65" s="28" t="s">
        <v>126</v>
      </c>
    </row>
    <row r="66" spans="30:31" ht="15.75" customHeight="1" x14ac:dyDescent="0.25">
      <c r="AD66" s="27">
        <v>65</v>
      </c>
      <c r="AE66" s="28" t="s">
        <v>127</v>
      </c>
    </row>
    <row r="67" spans="30:31" ht="15.75" customHeight="1" x14ac:dyDescent="0.25">
      <c r="AD67" s="27">
        <v>66</v>
      </c>
      <c r="AE67" s="28" t="s">
        <v>128</v>
      </c>
    </row>
    <row r="68" spans="30:31" ht="15.75" customHeight="1" x14ac:dyDescent="0.25">
      <c r="AD68" s="27">
        <v>67</v>
      </c>
      <c r="AE68" s="28" t="s">
        <v>129</v>
      </c>
    </row>
    <row r="69" spans="30:31" ht="15.75" customHeight="1" x14ac:dyDescent="0.25">
      <c r="AD69" s="27">
        <v>68</v>
      </c>
      <c r="AE69" s="28" t="s">
        <v>130</v>
      </c>
    </row>
    <row r="70" spans="30:31" ht="15.75" customHeight="1" x14ac:dyDescent="0.25">
      <c r="AD70" s="27">
        <v>69</v>
      </c>
      <c r="AE70" s="28" t="s">
        <v>131</v>
      </c>
    </row>
    <row r="71" spans="30:31" ht="15.75" customHeight="1" x14ac:dyDescent="0.25">
      <c r="AD71" s="27">
        <v>70</v>
      </c>
      <c r="AE71" s="28" t="s">
        <v>132</v>
      </c>
    </row>
    <row r="72" spans="30:31" ht="15.75" customHeight="1" x14ac:dyDescent="0.25">
      <c r="AD72" s="27">
        <v>71</v>
      </c>
      <c r="AE72" s="28" t="s">
        <v>133</v>
      </c>
    </row>
    <row r="73" spans="30:31" ht="15.75" customHeight="1" x14ac:dyDescent="0.25">
      <c r="AD73" s="27">
        <v>72</v>
      </c>
      <c r="AE73" s="28" t="s">
        <v>134</v>
      </c>
    </row>
    <row r="74" spans="30:31" ht="15.75" customHeight="1" x14ac:dyDescent="0.25">
      <c r="AD74" s="27">
        <v>73</v>
      </c>
      <c r="AE74" s="28" t="s">
        <v>135</v>
      </c>
    </row>
    <row r="75" spans="30:31" ht="15.75" customHeight="1" x14ac:dyDescent="0.25">
      <c r="AD75" s="27">
        <v>74</v>
      </c>
      <c r="AE75" s="28" t="s">
        <v>136</v>
      </c>
    </row>
    <row r="76" spans="30:31" ht="15.75" customHeight="1" x14ac:dyDescent="0.25">
      <c r="AD76" s="27">
        <v>75</v>
      </c>
      <c r="AE76" s="28" t="s">
        <v>137</v>
      </c>
    </row>
    <row r="77" spans="30:31" ht="15.75" customHeight="1" x14ac:dyDescent="0.25">
      <c r="AD77" s="27">
        <v>76</v>
      </c>
      <c r="AE77" s="28" t="s">
        <v>138</v>
      </c>
    </row>
    <row r="78" spans="30:31" ht="15.75" customHeight="1" x14ac:dyDescent="0.25">
      <c r="AD78" s="27">
        <v>77</v>
      </c>
      <c r="AE78" s="28" t="s">
        <v>139</v>
      </c>
    </row>
    <row r="79" spans="30:31" ht="15.75" customHeight="1" x14ac:dyDescent="0.25">
      <c r="AD79" s="27">
        <v>78</v>
      </c>
      <c r="AE79" s="28" t="s">
        <v>140</v>
      </c>
    </row>
    <row r="80" spans="30:31" ht="15.75" customHeight="1" x14ac:dyDescent="0.25">
      <c r="AD80" s="27">
        <v>79</v>
      </c>
      <c r="AE80" s="28" t="s">
        <v>141</v>
      </c>
    </row>
    <row r="81" spans="30:31" ht="15.75" customHeight="1" x14ac:dyDescent="0.25">
      <c r="AD81" s="27">
        <v>80</v>
      </c>
      <c r="AE81" s="28" t="s">
        <v>142</v>
      </c>
    </row>
    <row r="82" spans="30:31" ht="15.75" customHeight="1" x14ac:dyDescent="0.25">
      <c r="AD82" s="27">
        <v>81</v>
      </c>
      <c r="AE82" s="28" t="s">
        <v>143</v>
      </c>
    </row>
    <row r="83" spans="30:31" ht="15.75" customHeight="1" x14ac:dyDescent="0.25">
      <c r="AD83" s="27">
        <v>82</v>
      </c>
      <c r="AE83" s="28" t="s">
        <v>144</v>
      </c>
    </row>
    <row r="84" spans="30:31" ht="15.75" customHeight="1" x14ac:dyDescent="0.25">
      <c r="AD84" s="27">
        <v>83</v>
      </c>
      <c r="AE84" s="28" t="s">
        <v>145</v>
      </c>
    </row>
    <row r="85" spans="30:31" ht="15.75" customHeight="1" x14ac:dyDescent="0.25">
      <c r="AD85" s="27">
        <v>84</v>
      </c>
      <c r="AE85" s="28" t="s">
        <v>146</v>
      </c>
    </row>
    <row r="86" spans="30:31" ht="15.75" customHeight="1" x14ac:dyDescent="0.25">
      <c r="AD86" s="27">
        <v>85</v>
      </c>
      <c r="AE86" s="28" t="s">
        <v>147</v>
      </c>
    </row>
    <row r="87" spans="30:31" ht="15.75" customHeight="1" x14ac:dyDescent="0.25">
      <c r="AD87" s="27">
        <v>86</v>
      </c>
      <c r="AE87" s="28" t="s">
        <v>148</v>
      </c>
    </row>
    <row r="88" spans="30:31" ht="15.75" customHeight="1" x14ac:dyDescent="0.25">
      <c r="AD88" s="27">
        <v>87</v>
      </c>
      <c r="AE88" s="28" t="s">
        <v>149</v>
      </c>
    </row>
    <row r="89" spans="30:31" ht="15.75" customHeight="1" x14ac:dyDescent="0.25">
      <c r="AD89" s="27">
        <v>88</v>
      </c>
      <c r="AE89" s="28" t="s">
        <v>150</v>
      </c>
    </row>
    <row r="90" spans="30:31" ht="15.75" customHeight="1" x14ac:dyDescent="0.25">
      <c r="AD90" s="27">
        <v>89</v>
      </c>
      <c r="AE90" s="28" t="s">
        <v>151</v>
      </c>
    </row>
    <row r="91" spans="30:31" ht="15.75" customHeight="1" x14ac:dyDescent="0.25">
      <c r="AD91" s="27">
        <v>90</v>
      </c>
      <c r="AE91" s="28" t="s">
        <v>152</v>
      </c>
    </row>
    <row r="92" spans="30:31" ht="15.75" customHeight="1" x14ac:dyDescent="0.25">
      <c r="AD92" s="27">
        <v>91</v>
      </c>
      <c r="AE92" s="28" t="s">
        <v>153</v>
      </c>
    </row>
    <row r="93" spans="30:31" ht="15.75" customHeight="1" x14ac:dyDescent="0.25">
      <c r="AD93" s="27">
        <v>92</v>
      </c>
      <c r="AE93" s="28" t="s">
        <v>154</v>
      </c>
    </row>
    <row r="94" spans="30:31" ht="15.75" customHeight="1" x14ac:dyDescent="0.25">
      <c r="AD94" s="27">
        <v>93</v>
      </c>
      <c r="AE94" s="28" t="s">
        <v>155</v>
      </c>
    </row>
    <row r="95" spans="30:31" ht="15.75" customHeight="1" x14ac:dyDescent="0.25">
      <c r="AD95" s="27">
        <v>94</v>
      </c>
      <c r="AE95" s="28" t="s">
        <v>156</v>
      </c>
    </row>
    <row r="96" spans="30:31" ht="15.75" customHeight="1" x14ac:dyDescent="0.25">
      <c r="AD96" s="27">
        <v>95</v>
      </c>
      <c r="AE96" s="28" t="s">
        <v>157</v>
      </c>
    </row>
    <row r="98" spans="30:30" ht="15.75" customHeight="1" x14ac:dyDescent="0.3">
      <c r="AD98" s="30"/>
    </row>
  </sheetData>
  <mergeCells count="1">
    <mergeCell ref="O6:P6"/>
  </mergeCells>
  <pageMargins left="0.7" right="0.7" top="0.75" bottom="0.75" header="0.3" footer="0.3"/>
  <pageSetup scale="64" orientation="landscape" horizontalDpi="300" verticalDpi="300" r:id="rId1"/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FAF46-0FC1-44F6-898D-8CBDB9714A45}">
  <dimension ref="A1:E29"/>
  <sheetViews>
    <sheetView workbookViewId="0">
      <selection activeCell="B12" sqref="B12"/>
    </sheetView>
  </sheetViews>
  <sheetFormatPr defaultColWidth="13.77734375" defaultRowHeight="13.2" x14ac:dyDescent="0.25"/>
  <sheetData>
    <row r="1" spans="1:5" x14ac:dyDescent="0.25">
      <c r="A1" s="2" t="s">
        <v>42</v>
      </c>
      <c r="B1" t="s">
        <v>158</v>
      </c>
      <c r="C1" s="1" t="s">
        <v>0</v>
      </c>
      <c r="D1" s="1" t="s">
        <v>1</v>
      </c>
      <c r="E1" s="15" t="s">
        <v>2</v>
      </c>
    </row>
    <row r="2" spans="1:5" ht="20.399999999999999" x14ac:dyDescent="0.25">
      <c r="A2" s="4" t="s">
        <v>3</v>
      </c>
      <c r="B2" t="s">
        <v>159</v>
      </c>
      <c r="C2" s="6">
        <v>11</v>
      </c>
      <c r="D2" s="6">
        <v>6</v>
      </c>
      <c r="E2" s="16">
        <v>55</v>
      </c>
    </row>
    <row r="3" spans="1:5" ht="20.399999999999999" x14ac:dyDescent="0.25">
      <c r="A3" s="4" t="s">
        <v>4</v>
      </c>
      <c r="B3" t="s">
        <v>160</v>
      </c>
      <c r="C3" s="6">
        <v>58</v>
      </c>
      <c r="D3" s="6">
        <v>52</v>
      </c>
      <c r="E3" s="13">
        <v>90</v>
      </c>
    </row>
    <row r="4" spans="1:5" ht="20.399999999999999" x14ac:dyDescent="0.25">
      <c r="A4" s="4" t="s">
        <v>5</v>
      </c>
      <c r="B4" t="s">
        <v>161</v>
      </c>
      <c r="C4" s="6">
        <v>100</v>
      </c>
      <c r="D4" s="6">
        <v>81</v>
      </c>
      <c r="E4" s="13">
        <v>81</v>
      </c>
    </row>
    <row r="5" spans="1:5" ht="20.399999999999999" x14ac:dyDescent="0.25">
      <c r="A5" s="4" t="s">
        <v>6</v>
      </c>
      <c r="B5" t="s">
        <v>161</v>
      </c>
      <c r="C5" s="6">
        <v>36</v>
      </c>
      <c r="D5" s="6">
        <v>29</v>
      </c>
      <c r="E5" s="13">
        <v>81</v>
      </c>
    </row>
    <row r="6" spans="1:5" x14ac:dyDescent="0.25">
      <c r="A6" s="4" t="s">
        <v>7</v>
      </c>
      <c r="B6" t="s">
        <v>162</v>
      </c>
      <c r="C6" s="8"/>
      <c r="D6" s="8"/>
      <c r="E6" s="14"/>
    </row>
    <row r="7" spans="1:5" x14ac:dyDescent="0.25">
      <c r="A7" s="4" t="s">
        <v>8</v>
      </c>
      <c r="B7" t="s">
        <v>162</v>
      </c>
      <c r="C7" s="6">
        <v>3</v>
      </c>
      <c r="D7" s="6">
        <v>3</v>
      </c>
      <c r="E7" s="13">
        <v>100</v>
      </c>
    </row>
    <row r="8" spans="1:5" ht="20.399999999999999" x14ac:dyDescent="0.25">
      <c r="A8" s="4" t="s">
        <v>9</v>
      </c>
      <c r="B8" t="s">
        <v>178</v>
      </c>
      <c r="C8" s="6">
        <v>93</v>
      </c>
      <c r="D8" s="6">
        <v>88</v>
      </c>
      <c r="E8" s="13">
        <v>95</v>
      </c>
    </row>
    <row r="9" spans="1:5" ht="20.399999999999999" x14ac:dyDescent="0.25">
      <c r="A9" s="4" t="s">
        <v>10</v>
      </c>
      <c r="B9" t="s">
        <v>163</v>
      </c>
      <c r="C9" s="6">
        <v>48</v>
      </c>
      <c r="D9" s="6">
        <v>45</v>
      </c>
      <c r="E9" s="13">
        <v>94</v>
      </c>
    </row>
    <row r="10" spans="1:5" x14ac:dyDescent="0.25">
      <c r="A10" s="4" t="s">
        <v>11</v>
      </c>
      <c r="B10" t="s">
        <v>162</v>
      </c>
      <c r="C10" s="6">
        <v>102</v>
      </c>
      <c r="D10" s="6">
        <v>98</v>
      </c>
      <c r="E10" s="13">
        <v>96</v>
      </c>
    </row>
    <row r="11" spans="1:5" ht="20.399999999999999" x14ac:dyDescent="0.25">
      <c r="A11" s="4" t="s">
        <v>12</v>
      </c>
      <c r="B11" t="s">
        <v>159</v>
      </c>
      <c r="C11" s="6">
        <v>16</v>
      </c>
      <c r="D11" s="6">
        <v>15</v>
      </c>
      <c r="E11" s="13">
        <v>94</v>
      </c>
    </row>
    <row r="12" spans="1:5" x14ac:dyDescent="0.25">
      <c r="A12" s="4" t="s">
        <v>13</v>
      </c>
      <c r="B12" t="s">
        <v>179</v>
      </c>
      <c r="C12" s="6">
        <v>50</v>
      </c>
      <c r="D12" s="6">
        <v>43</v>
      </c>
      <c r="E12" s="13">
        <v>86</v>
      </c>
    </row>
    <row r="13" spans="1:5" x14ac:dyDescent="0.25">
      <c r="A13" s="4" t="s">
        <v>14</v>
      </c>
      <c r="B13" t="s">
        <v>164</v>
      </c>
      <c r="C13" s="6">
        <v>37</v>
      </c>
      <c r="D13" s="6">
        <v>35</v>
      </c>
      <c r="E13" s="13">
        <v>95</v>
      </c>
    </row>
    <row r="14" spans="1:5" x14ac:dyDescent="0.25">
      <c r="A14" s="4" t="s">
        <v>15</v>
      </c>
      <c r="B14" t="s">
        <v>165</v>
      </c>
      <c r="C14" s="6">
        <v>49</v>
      </c>
      <c r="D14" s="6">
        <v>47</v>
      </c>
      <c r="E14" s="13">
        <v>96</v>
      </c>
    </row>
    <row r="15" spans="1:5" x14ac:dyDescent="0.25">
      <c r="A15" s="4" t="s">
        <v>16</v>
      </c>
      <c r="B15" t="s">
        <v>166</v>
      </c>
      <c r="C15" s="6">
        <v>82</v>
      </c>
      <c r="D15" s="6">
        <v>81</v>
      </c>
      <c r="E15" s="13">
        <v>99</v>
      </c>
    </row>
    <row r="16" spans="1:5" ht="40.799999999999997" x14ac:dyDescent="0.25">
      <c r="A16" s="9" t="s">
        <v>17</v>
      </c>
      <c r="B16" t="s">
        <v>167</v>
      </c>
      <c r="C16" s="6">
        <v>28</v>
      </c>
      <c r="D16" s="6">
        <v>27</v>
      </c>
      <c r="E16" s="13">
        <v>96</v>
      </c>
    </row>
    <row r="17" spans="1:5" x14ac:dyDescent="0.25">
      <c r="A17" s="4" t="s">
        <v>18</v>
      </c>
      <c r="B17" t="s">
        <v>168</v>
      </c>
      <c r="C17" s="6">
        <v>36</v>
      </c>
      <c r="D17" s="6">
        <v>35</v>
      </c>
      <c r="E17" s="13">
        <v>97</v>
      </c>
    </row>
    <row r="18" spans="1:5" ht="40.799999999999997" x14ac:dyDescent="0.25">
      <c r="A18" s="9" t="s">
        <v>19</v>
      </c>
      <c r="B18" t="s">
        <v>169</v>
      </c>
      <c r="C18" s="6">
        <v>36</v>
      </c>
      <c r="D18" s="6">
        <v>32</v>
      </c>
      <c r="E18" s="13">
        <v>89</v>
      </c>
    </row>
    <row r="19" spans="1:5" x14ac:dyDescent="0.25">
      <c r="A19" s="4" t="s">
        <v>20</v>
      </c>
      <c r="B19" t="s">
        <v>170</v>
      </c>
      <c r="C19" s="6">
        <v>39</v>
      </c>
      <c r="D19" s="6">
        <v>37</v>
      </c>
      <c r="E19" s="13">
        <v>95</v>
      </c>
    </row>
    <row r="20" spans="1:5" x14ac:dyDescent="0.25">
      <c r="A20" s="4" t="s">
        <v>21</v>
      </c>
      <c r="B20" t="s">
        <v>171</v>
      </c>
      <c r="C20" s="6">
        <v>87</v>
      </c>
      <c r="D20" s="6">
        <v>84</v>
      </c>
      <c r="E20" s="13">
        <v>97</v>
      </c>
    </row>
    <row r="21" spans="1:5" x14ac:dyDescent="0.25">
      <c r="A21" s="4" t="s">
        <v>22</v>
      </c>
      <c r="B21" t="s">
        <v>172</v>
      </c>
      <c r="C21" s="6">
        <v>65</v>
      </c>
      <c r="D21" s="6">
        <v>60</v>
      </c>
      <c r="E21" s="13">
        <v>92</v>
      </c>
    </row>
    <row r="22" spans="1:5" x14ac:dyDescent="0.25">
      <c r="A22" s="4" t="s">
        <v>23</v>
      </c>
      <c r="B22" t="s">
        <v>173</v>
      </c>
      <c r="C22" s="6">
        <v>50</v>
      </c>
      <c r="D22" s="6">
        <v>41</v>
      </c>
      <c r="E22" s="13">
        <v>82</v>
      </c>
    </row>
    <row r="23" spans="1:5" x14ac:dyDescent="0.25">
      <c r="A23" s="4" t="s">
        <v>24</v>
      </c>
      <c r="B23" t="s">
        <v>174</v>
      </c>
      <c r="C23" s="6">
        <v>56</v>
      </c>
      <c r="D23" s="6">
        <v>54</v>
      </c>
      <c r="E23" s="13">
        <v>96</v>
      </c>
    </row>
    <row r="24" spans="1:5" x14ac:dyDescent="0.25">
      <c r="A24" s="4" t="s">
        <v>25</v>
      </c>
      <c r="B24" t="s">
        <v>162</v>
      </c>
      <c r="C24" s="6">
        <v>41</v>
      </c>
      <c r="D24" s="6">
        <v>40</v>
      </c>
      <c r="E24" s="13">
        <v>98</v>
      </c>
    </row>
    <row r="25" spans="1:5" ht="30.6" x14ac:dyDescent="0.25">
      <c r="A25" s="9" t="s">
        <v>26</v>
      </c>
      <c r="B25" t="s">
        <v>175</v>
      </c>
      <c r="C25" s="6">
        <v>44</v>
      </c>
      <c r="D25" s="6">
        <v>38</v>
      </c>
      <c r="E25" s="13">
        <v>86</v>
      </c>
    </row>
    <row r="26" spans="1:5" ht="40.799999999999997" x14ac:dyDescent="0.25">
      <c r="A26" s="9" t="s">
        <v>27</v>
      </c>
      <c r="B26" t="s">
        <v>176</v>
      </c>
      <c r="C26" s="6">
        <v>47</v>
      </c>
      <c r="D26" s="6">
        <v>43</v>
      </c>
      <c r="E26" s="13">
        <v>91</v>
      </c>
    </row>
    <row r="27" spans="1:5" ht="20.399999999999999" x14ac:dyDescent="0.25">
      <c r="A27" s="4" t="s">
        <v>28</v>
      </c>
      <c r="B27" t="s">
        <v>177</v>
      </c>
      <c r="C27" s="6">
        <v>44</v>
      </c>
      <c r="D27" s="6">
        <v>43</v>
      </c>
      <c r="E27" s="13">
        <v>98</v>
      </c>
    </row>
    <row r="28" spans="1:5" ht="20.399999999999999" x14ac:dyDescent="0.25">
      <c r="A28" s="4" t="s">
        <v>29</v>
      </c>
      <c r="B28" t="s">
        <v>161</v>
      </c>
      <c r="C28" s="8"/>
      <c r="D28" s="8"/>
      <c r="E28" s="14"/>
    </row>
    <row r="29" spans="1:5" ht="20.399999999999999" x14ac:dyDescent="0.25">
      <c r="A29" s="4" t="s">
        <v>30</v>
      </c>
      <c r="B29" t="s">
        <v>173</v>
      </c>
      <c r="C29" s="6">
        <v>3</v>
      </c>
      <c r="D29" s="6">
        <v>3</v>
      </c>
      <c r="E29" s="13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8CA31-A432-4A17-A1CC-26CA620CEB67}">
  <dimension ref="A1:E29"/>
  <sheetViews>
    <sheetView workbookViewId="0">
      <selection activeCell="B12" sqref="B12"/>
    </sheetView>
  </sheetViews>
  <sheetFormatPr defaultColWidth="19.44140625" defaultRowHeight="13.2" x14ac:dyDescent="0.25"/>
  <sheetData>
    <row r="1" spans="1:5" x14ac:dyDescent="0.25">
      <c r="A1" s="2" t="s">
        <v>42</v>
      </c>
      <c r="B1" t="s">
        <v>158</v>
      </c>
      <c r="C1" s="1" t="s">
        <v>0</v>
      </c>
      <c r="D1" s="1" t="s">
        <v>1</v>
      </c>
      <c r="E1" s="1" t="s">
        <v>2</v>
      </c>
    </row>
    <row r="2" spans="1:5" ht="20.399999999999999" x14ac:dyDescent="0.25">
      <c r="A2" s="4" t="s">
        <v>3</v>
      </c>
      <c r="B2" t="s">
        <v>159</v>
      </c>
      <c r="C2" s="6">
        <v>19</v>
      </c>
      <c r="D2" s="6">
        <v>11</v>
      </c>
      <c r="E2" s="3">
        <v>58</v>
      </c>
    </row>
    <row r="3" spans="1:5" x14ac:dyDescent="0.25">
      <c r="A3" s="4" t="s">
        <v>4</v>
      </c>
      <c r="B3" t="s">
        <v>160</v>
      </c>
      <c r="C3" s="6">
        <v>39</v>
      </c>
      <c r="D3" s="6">
        <v>29</v>
      </c>
      <c r="E3" s="3">
        <v>74</v>
      </c>
    </row>
    <row r="4" spans="1:5" ht="20.399999999999999" x14ac:dyDescent="0.25">
      <c r="A4" s="4" t="s">
        <v>5</v>
      </c>
      <c r="B4" t="s">
        <v>161</v>
      </c>
      <c r="C4" s="6">
        <v>48</v>
      </c>
      <c r="D4" s="6">
        <v>40</v>
      </c>
      <c r="E4" s="3">
        <v>83</v>
      </c>
    </row>
    <row r="5" spans="1:5" ht="20.399999999999999" x14ac:dyDescent="0.25">
      <c r="A5" s="4" t="s">
        <v>6</v>
      </c>
      <c r="B5" t="s">
        <v>161</v>
      </c>
      <c r="C5" s="6">
        <v>42</v>
      </c>
      <c r="D5" s="6">
        <v>38</v>
      </c>
      <c r="E5" s="3">
        <v>90</v>
      </c>
    </row>
    <row r="6" spans="1:5" x14ac:dyDescent="0.25">
      <c r="A6" s="4" t="s">
        <v>7</v>
      </c>
      <c r="B6" t="s">
        <v>162</v>
      </c>
      <c r="D6" s="8"/>
      <c r="E6" s="8"/>
    </row>
    <row r="7" spans="1:5" x14ac:dyDescent="0.25">
      <c r="A7" s="4" t="s">
        <v>8</v>
      </c>
      <c r="B7" t="s">
        <v>162</v>
      </c>
      <c r="C7" s="5"/>
      <c r="D7" s="5"/>
      <c r="E7" s="5"/>
    </row>
    <row r="8" spans="1:5" x14ac:dyDescent="0.25">
      <c r="A8" s="4" t="s">
        <v>9</v>
      </c>
      <c r="B8" t="s">
        <v>178</v>
      </c>
      <c r="C8" s="6">
        <v>92</v>
      </c>
      <c r="D8" s="6">
        <v>89</v>
      </c>
      <c r="E8" s="3">
        <v>97</v>
      </c>
    </row>
    <row r="9" spans="1:5" x14ac:dyDescent="0.25">
      <c r="A9" s="4" t="s">
        <v>10</v>
      </c>
      <c r="B9" t="s">
        <v>163</v>
      </c>
      <c r="C9" s="6">
        <v>47</v>
      </c>
      <c r="D9" s="6">
        <v>39</v>
      </c>
      <c r="E9" s="3">
        <v>83</v>
      </c>
    </row>
    <row r="10" spans="1:5" x14ac:dyDescent="0.25">
      <c r="A10" s="4" t="s">
        <v>11</v>
      </c>
      <c r="B10" t="s">
        <v>162</v>
      </c>
      <c r="C10" s="6">
        <v>90</v>
      </c>
      <c r="D10" s="6">
        <v>85</v>
      </c>
      <c r="E10" s="3">
        <v>94</v>
      </c>
    </row>
    <row r="11" spans="1:5" x14ac:dyDescent="0.25">
      <c r="A11" s="4" t="s">
        <v>12</v>
      </c>
      <c r="B11" t="s">
        <v>159</v>
      </c>
      <c r="C11" s="6">
        <v>18</v>
      </c>
      <c r="D11" s="6">
        <v>16</v>
      </c>
      <c r="E11" s="3">
        <v>89</v>
      </c>
    </row>
    <row r="12" spans="1:5" x14ac:dyDescent="0.25">
      <c r="A12" s="4" t="s">
        <v>13</v>
      </c>
      <c r="B12" t="s">
        <v>179</v>
      </c>
      <c r="C12" s="6">
        <v>34</v>
      </c>
      <c r="D12" s="6">
        <v>32</v>
      </c>
      <c r="E12" s="3">
        <v>94</v>
      </c>
    </row>
    <row r="13" spans="1:5" x14ac:dyDescent="0.25">
      <c r="A13" s="4" t="s">
        <v>14</v>
      </c>
      <c r="B13" t="s">
        <v>164</v>
      </c>
      <c r="C13" s="6">
        <v>2</v>
      </c>
      <c r="D13" s="6">
        <v>2</v>
      </c>
      <c r="E13" s="3">
        <v>100</v>
      </c>
    </row>
    <row r="14" spans="1:5" x14ac:dyDescent="0.25">
      <c r="A14" s="4" t="s">
        <v>15</v>
      </c>
      <c r="B14" t="s">
        <v>165</v>
      </c>
      <c r="C14" s="6">
        <v>48</v>
      </c>
      <c r="D14" s="6">
        <v>44</v>
      </c>
      <c r="E14" s="3">
        <v>92</v>
      </c>
    </row>
    <row r="15" spans="1:5" x14ac:dyDescent="0.25">
      <c r="A15" s="4" t="s">
        <v>16</v>
      </c>
      <c r="B15" t="s">
        <v>166</v>
      </c>
      <c r="C15" s="6">
        <v>59</v>
      </c>
      <c r="D15" s="6">
        <v>56</v>
      </c>
      <c r="E15" s="3">
        <v>95</v>
      </c>
    </row>
    <row r="16" spans="1:5" ht="30.6" x14ac:dyDescent="0.25">
      <c r="A16" s="9" t="s">
        <v>17</v>
      </c>
      <c r="B16" t="s">
        <v>167</v>
      </c>
      <c r="C16" s="6">
        <v>7</v>
      </c>
      <c r="D16" s="6">
        <v>7</v>
      </c>
      <c r="E16" s="3">
        <v>100</v>
      </c>
    </row>
    <row r="17" spans="1:5" x14ac:dyDescent="0.25">
      <c r="A17" s="4" t="s">
        <v>18</v>
      </c>
      <c r="B17" t="s">
        <v>168</v>
      </c>
      <c r="C17" s="6">
        <v>44</v>
      </c>
      <c r="D17" s="6">
        <v>40</v>
      </c>
      <c r="E17" s="3">
        <v>91</v>
      </c>
    </row>
    <row r="18" spans="1:5" ht="30.6" x14ac:dyDescent="0.25">
      <c r="A18" s="9" t="s">
        <v>19</v>
      </c>
      <c r="B18" t="s">
        <v>169</v>
      </c>
      <c r="C18" s="6">
        <v>37</v>
      </c>
      <c r="D18" s="6">
        <v>31</v>
      </c>
      <c r="E18" s="3">
        <v>84</v>
      </c>
    </row>
    <row r="19" spans="1:5" x14ac:dyDescent="0.25">
      <c r="A19" s="4" t="s">
        <v>20</v>
      </c>
      <c r="B19" t="s">
        <v>170</v>
      </c>
      <c r="C19" s="6">
        <v>56</v>
      </c>
      <c r="D19" s="6">
        <v>47</v>
      </c>
      <c r="E19" s="3">
        <v>84</v>
      </c>
    </row>
    <row r="20" spans="1:5" x14ac:dyDescent="0.25">
      <c r="A20" s="4" t="s">
        <v>21</v>
      </c>
      <c r="B20" t="s">
        <v>171</v>
      </c>
      <c r="C20" s="6">
        <v>87</v>
      </c>
      <c r="D20" s="6">
        <v>83</v>
      </c>
      <c r="E20" s="3">
        <v>95</v>
      </c>
    </row>
    <row r="21" spans="1:5" x14ac:dyDescent="0.25">
      <c r="A21" s="4" t="s">
        <v>22</v>
      </c>
      <c r="B21" t="s">
        <v>172</v>
      </c>
      <c r="C21" s="6">
        <v>71</v>
      </c>
      <c r="D21" s="6">
        <v>64</v>
      </c>
      <c r="E21" s="3">
        <v>90</v>
      </c>
    </row>
    <row r="22" spans="1:5" x14ac:dyDescent="0.25">
      <c r="A22" s="4" t="s">
        <v>23</v>
      </c>
      <c r="B22" t="s">
        <v>173</v>
      </c>
      <c r="C22" s="6">
        <v>46</v>
      </c>
      <c r="D22" s="6">
        <v>40</v>
      </c>
      <c r="E22" s="3">
        <v>87</v>
      </c>
    </row>
    <row r="23" spans="1:5" x14ac:dyDescent="0.25">
      <c r="A23" s="4" t="s">
        <v>24</v>
      </c>
      <c r="B23" t="s">
        <v>174</v>
      </c>
      <c r="C23" s="6">
        <v>62</v>
      </c>
      <c r="D23" s="6">
        <v>59</v>
      </c>
      <c r="E23" s="3">
        <v>95</v>
      </c>
    </row>
    <row r="24" spans="1:5" x14ac:dyDescent="0.25">
      <c r="A24" s="4" t="s">
        <v>25</v>
      </c>
      <c r="B24" t="s">
        <v>162</v>
      </c>
      <c r="C24" s="6">
        <v>57</v>
      </c>
      <c r="D24" s="6">
        <v>55</v>
      </c>
      <c r="E24" s="3">
        <v>96</v>
      </c>
    </row>
    <row r="25" spans="1:5" ht="20.399999999999999" x14ac:dyDescent="0.25">
      <c r="A25" s="9" t="s">
        <v>26</v>
      </c>
      <c r="B25" t="s">
        <v>175</v>
      </c>
      <c r="C25" s="6">
        <v>78</v>
      </c>
      <c r="D25" s="6">
        <v>73</v>
      </c>
      <c r="E25" s="3">
        <v>94</v>
      </c>
    </row>
    <row r="26" spans="1:5" ht="20.399999999999999" x14ac:dyDescent="0.25">
      <c r="A26" s="9" t="s">
        <v>27</v>
      </c>
      <c r="B26" t="s">
        <v>176</v>
      </c>
      <c r="C26" s="6">
        <v>37</v>
      </c>
      <c r="D26" s="6">
        <v>32</v>
      </c>
      <c r="E26" s="3">
        <v>86</v>
      </c>
    </row>
    <row r="27" spans="1:5" x14ac:dyDescent="0.25">
      <c r="A27" s="4" t="s">
        <v>28</v>
      </c>
      <c r="B27" t="s">
        <v>177</v>
      </c>
      <c r="C27" s="6">
        <v>66</v>
      </c>
      <c r="D27" s="6">
        <v>64</v>
      </c>
      <c r="E27" s="3">
        <v>97</v>
      </c>
    </row>
    <row r="28" spans="1:5" ht="20.399999999999999" x14ac:dyDescent="0.25">
      <c r="A28" s="4" t="s">
        <v>29</v>
      </c>
      <c r="B28" t="s">
        <v>161</v>
      </c>
      <c r="C28" s="8"/>
      <c r="D28" s="8"/>
      <c r="E28" s="8"/>
    </row>
    <row r="29" spans="1:5" x14ac:dyDescent="0.25">
      <c r="A29" s="4" t="s">
        <v>30</v>
      </c>
      <c r="B29" t="s">
        <v>173</v>
      </c>
      <c r="C29" s="6">
        <v>17</v>
      </c>
      <c r="D29" s="6">
        <v>10</v>
      </c>
      <c r="E29" s="3">
        <v>59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AD6CE-FF08-4080-ACD3-8DDAE72DE24D}">
  <dimension ref="A1:E29"/>
  <sheetViews>
    <sheetView topLeftCell="A7" zoomScale="115" zoomScaleNormal="115" workbookViewId="0">
      <selection activeCell="B12" sqref="B12"/>
    </sheetView>
  </sheetViews>
  <sheetFormatPr defaultRowHeight="13.2" x14ac:dyDescent="0.25"/>
  <cols>
    <col min="1" max="2" width="17.33203125" customWidth="1"/>
    <col min="3" max="3" width="6.77734375" customWidth="1"/>
    <col min="4" max="5" width="5.77734375" customWidth="1"/>
  </cols>
  <sheetData>
    <row r="1" spans="1:5" x14ac:dyDescent="0.25">
      <c r="A1" s="2" t="s">
        <v>42</v>
      </c>
      <c r="B1" t="s">
        <v>158</v>
      </c>
      <c r="C1" s="1" t="s">
        <v>0</v>
      </c>
      <c r="D1" s="1" t="s">
        <v>1</v>
      </c>
      <c r="E1" s="1" t="s">
        <v>2</v>
      </c>
    </row>
    <row r="2" spans="1:5" ht="30.6" x14ac:dyDescent="0.25">
      <c r="A2" s="4" t="s">
        <v>3</v>
      </c>
      <c r="B2" t="s">
        <v>159</v>
      </c>
      <c r="C2" s="6">
        <v>33</v>
      </c>
      <c r="D2" s="6">
        <v>19</v>
      </c>
      <c r="E2" s="3">
        <v>58</v>
      </c>
    </row>
    <row r="3" spans="1:5" ht="20.399999999999999" x14ac:dyDescent="0.25">
      <c r="A3" s="4" t="s">
        <v>4</v>
      </c>
      <c r="B3" t="s">
        <v>160</v>
      </c>
      <c r="C3" s="6">
        <v>55</v>
      </c>
      <c r="D3" s="6">
        <v>45</v>
      </c>
      <c r="E3" s="3">
        <v>81</v>
      </c>
    </row>
    <row r="4" spans="1:5" ht="30.6" x14ac:dyDescent="0.25">
      <c r="A4" s="4" t="s">
        <v>5</v>
      </c>
      <c r="B4" t="s">
        <v>161</v>
      </c>
      <c r="C4" s="6">
        <v>24</v>
      </c>
      <c r="D4" s="6">
        <v>22</v>
      </c>
      <c r="E4" s="3">
        <v>92</v>
      </c>
    </row>
    <row r="5" spans="1:5" ht="30.6" x14ac:dyDescent="0.25">
      <c r="A5" s="4" t="s">
        <v>6</v>
      </c>
      <c r="B5" t="s">
        <v>161</v>
      </c>
      <c r="C5" s="6">
        <v>35</v>
      </c>
      <c r="D5" s="6">
        <v>32</v>
      </c>
      <c r="E5" s="3">
        <v>91</v>
      </c>
    </row>
    <row r="6" spans="1:5" ht="20.399999999999999" x14ac:dyDescent="0.25">
      <c r="A6" s="4" t="s">
        <v>7</v>
      </c>
      <c r="B6" t="s">
        <v>162</v>
      </c>
      <c r="C6" s="8"/>
      <c r="D6" s="8"/>
    </row>
    <row r="7" spans="1:5" ht="20.399999999999999" x14ac:dyDescent="0.25">
      <c r="A7" s="4" t="s">
        <v>8</v>
      </c>
      <c r="B7" t="s">
        <v>162</v>
      </c>
      <c r="C7" s="5"/>
      <c r="D7" s="5"/>
      <c r="E7" s="5"/>
    </row>
    <row r="8" spans="1:5" ht="30.6" x14ac:dyDescent="0.25">
      <c r="A8" s="4" t="s">
        <v>9</v>
      </c>
      <c r="B8" t="s">
        <v>178</v>
      </c>
      <c r="C8" s="6">
        <v>120</v>
      </c>
      <c r="D8" s="6">
        <v>107</v>
      </c>
      <c r="E8" s="3">
        <v>89</v>
      </c>
    </row>
    <row r="9" spans="1:5" ht="30.6" x14ac:dyDescent="0.25">
      <c r="A9" s="4" t="s">
        <v>10</v>
      </c>
      <c r="B9" t="s">
        <v>163</v>
      </c>
      <c r="C9" s="6">
        <v>47</v>
      </c>
      <c r="D9" s="6">
        <v>36</v>
      </c>
      <c r="E9" s="3">
        <v>77</v>
      </c>
    </row>
    <row r="10" spans="1:5" ht="20.399999999999999" x14ac:dyDescent="0.25">
      <c r="A10" s="4" t="s">
        <v>11</v>
      </c>
      <c r="B10" t="s">
        <v>162</v>
      </c>
      <c r="C10" s="6">
        <v>114</v>
      </c>
      <c r="D10" s="6">
        <v>109</v>
      </c>
      <c r="E10" s="3">
        <v>96</v>
      </c>
    </row>
    <row r="11" spans="1:5" ht="20.399999999999999" x14ac:dyDescent="0.25">
      <c r="A11" s="4" t="s">
        <v>12</v>
      </c>
      <c r="B11" t="s">
        <v>159</v>
      </c>
      <c r="C11" s="6">
        <v>14</v>
      </c>
      <c r="D11" s="6">
        <v>13</v>
      </c>
      <c r="E11" s="3">
        <v>93</v>
      </c>
    </row>
    <row r="12" spans="1:5" ht="20.399999999999999" x14ac:dyDescent="0.25">
      <c r="A12" s="4" t="s">
        <v>13</v>
      </c>
      <c r="B12" t="s">
        <v>179</v>
      </c>
      <c r="C12" s="6">
        <v>33</v>
      </c>
      <c r="D12" s="6">
        <v>32</v>
      </c>
      <c r="E12" s="3">
        <v>97</v>
      </c>
    </row>
    <row r="13" spans="1:5" ht="20.399999999999999" x14ac:dyDescent="0.25">
      <c r="A13" s="4" t="s">
        <v>14</v>
      </c>
      <c r="B13" t="s">
        <v>164</v>
      </c>
      <c r="C13" s="5"/>
      <c r="D13" s="5"/>
      <c r="E13" s="5"/>
    </row>
    <row r="14" spans="1:5" ht="20.399999999999999" x14ac:dyDescent="0.25">
      <c r="A14" s="4" t="s">
        <v>15</v>
      </c>
      <c r="B14" t="s">
        <v>165</v>
      </c>
      <c r="C14" s="6">
        <v>89</v>
      </c>
      <c r="D14" s="6">
        <v>84</v>
      </c>
      <c r="E14" s="3">
        <v>94</v>
      </c>
    </row>
    <row r="15" spans="1:5" ht="20.399999999999999" x14ac:dyDescent="0.25">
      <c r="A15" s="4" t="s">
        <v>16</v>
      </c>
      <c r="B15" t="s">
        <v>166</v>
      </c>
      <c r="C15" s="6">
        <v>83</v>
      </c>
      <c r="D15" s="6">
        <v>80</v>
      </c>
      <c r="E15" s="3">
        <v>96</v>
      </c>
    </row>
    <row r="16" spans="1:5" ht="81.599999999999994" x14ac:dyDescent="0.25">
      <c r="A16" s="9" t="s">
        <v>17</v>
      </c>
      <c r="B16" t="s">
        <v>167</v>
      </c>
      <c r="C16" s="6">
        <v>41</v>
      </c>
      <c r="D16" s="6">
        <v>30</v>
      </c>
      <c r="E16" s="3">
        <v>73</v>
      </c>
    </row>
    <row r="17" spans="1:5" ht="20.399999999999999" x14ac:dyDescent="0.25">
      <c r="A17" s="4" t="s">
        <v>18</v>
      </c>
      <c r="B17" t="s">
        <v>168</v>
      </c>
      <c r="C17" s="6">
        <v>41</v>
      </c>
      <c r="D17" s="6">
        <v>37</v>
      </c>
      <c r="E17" s="3">
        <v>90</v>
      </c>
    </row>
    <row r="18" spans="1:5" ht="40.799999999999997" x14ac:dyDescent="0.25">
      <c r="A18" s="9" t="s">
        <v>19</v>
      </c>
      <c r="B18" t="s">
        <v>169</v>
      </c>
      <c r="C18" s="6">
        <v>34</v>
      </c>
      <c r="D18" s="6">
        <v>32</v>
      </c>
      <c r="E18" s="3">
        <v>94</v>
      </c>
    </row>
    <row r="19" spans="1:5" ht="20.399999999999999" x14ac:dyDescent="0.25">
      <c r="A19" s="4" t="s">
        <v>20</v>
      </c>
      <c r="B19" t="s">
        <v>170</v>
      </c>
      <c r="C19" s="6">
        <v>33</v>
      </c>
      <c r="D19" s="6">
        <v>28</v>
      </c>
      <c r="E19" s="3">
        <v>85</v>
      </c>
    </row>
    <row r="20" spans="1:5" ht="20.399999999999999" x14ac:dyDescent="0.25">
      <c r="A20" s="4" t="s">
        <v>21</v>
      </c>
      <c r="B20" t="s">
        <v>171</v>
      </c>
      <c r="C20" s="6">
        <v>114</v>
      </c>
      <c r="D20" s="6">
        <v>91</v>
      </c>
      <c r="E20" s="3">
        <v>80</v>
      </c>
    </row>
    <row r="21" spans="1:5" ht="20.399999999999999" x14ac:dyDescent="0.25">
      <c r="A21" s="4" t="s">
        <v>22</v>
      </c>
      <c r="B21" t="s">
        <v>172</v>
      </c>
      <c r="C21" s="6">
        <v>53</v>
      </c>
      <c r="D21" s="6">
        <v>44</v>
      </c>
      <c r="E21" s="3">
        <v>83</v>
      </c>
    </row>
    <row r="22" spans="1:5" ht="20.399999999999999" x14ac:dyDescent="0.25">
      <c r="A22" s="4" t="s">
        <v>23</v>
      </c>
      <c r="B22" t="s">
        <v>173</v>
      </c>
      <c r="C22" s="6">
        <v>33</v>
      </c>
      <c r="D22" s="6">
        <v>23</v>
      </c>
      <c r="E22" s="3">
        <v>70</v>
      </c>
    </row>
    <row r="23" spans="1:5" ht="20.399999999999999" x14ac:dyDescent="0.25">
      <c r="A23" s="4" t="s">
        <v>24</v>
      </c>
      <c r="B23" t="s">
        <v>174</v>
      </c>
      <c r="C23" s="6">
        <v>66</v>
      </c>
      <c r="D23" s="6">
        <v>55</v>
      </c>
      <c r="E23" s="3">
        <v>83</v>
      </c>
    </row>
    <row r="24" spans="1:5" ht="20.399999999999999" x14ac:dyDescent="0.25">
      <c r="A24" s="4" t="s">
        <v>25</v>
      </c>
      <c r="B24" t="s">
        <v>162</v>
      </c>
      <c r="C24" s="6">
        <v>67</v>
      </c>
      <c r="D24" s="6">
        <v>60</v>
      </c>
      <c r="E24" s="3">
        <v>90</v>
      </c>
    </row>
    <row r="25" spans="1:5" ht="40.799999999999997" x14ac:dyDescent="0.25">
      <c r="A25" s="9" t="s">
        <v>26</v>
      </c>
      <c r="B25" t="s">
        <v>175</v>
      </c>
      <c r="C25" s="6">
        <v>109</v>
      </c>
      <c r="D25" s="6">
        <v>79</v>
      </c>
      <c r="E25" s="3">
        <v>72</v>
      </c>
    </row>
    <row r="26" spans="1:5" ht="61.2" x14ac:dyDescent="0.25">
      <c r="A26" s="9" t="s">
        <v>27</v>
      </c>
      <c r="B26" t="s">
        <v>176</v>
      </c>
      <c r="C26" s="6">
        <v>46</v>
      </c>
      <c r="D26" s="6">
        <v>40</v>
      </c>
      <c r="E26" s="3">
        <v>87</v>
      </c>
    </row>
    <row r="27" spans="1:5" ht="30.6" x14ac:dyDescent="0.25">
      <c r="A27" s="4" t="s">
        <v>28</v>
      </c>
      <c r="B27" t="s">
        <v>177</v>
      </c>
      <c r="C27" s="6">
        <v>72</v>
      </c>
      <c r="D27" s="6">
        <v>64</v>
      </c>
      <c r="E27" s="3">
        <v>89</v>
      </c>
    </row>
    <row r="28" spans="1:5" ht="40.799999999999997" x14ac:dyDescent="0.25">
      <c r="A28" s="4" t="s">
        <v>29</v>
      </c>
      <c r="B28" t="s">
        <v>161</v>
      </c>
      <c r="C28" s="8"/>
      <c r="D28" s="8"/>
      <c r="E28" s="8"/>
    </row>
    <row r="29" spans="1:5" ht="30.6" x14ac:dyDescent="0.25">
      <c r="A29" s="4" t="s">
        <v>30</v>
      </c>
      <c r="B29" t="s">
        <v>173</v>
      </c>
      <c r="C29" s="6">
        <v>13</v>
      </c>
      <c r="D29" s="6">
        <v>7</v>
      </c>
      <c r="E29" s="3">
        <v>54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8F8C0-30F7-43A7-9EFA-DEAB385EE3A7}">
  <dimension ref="A1:E29"/>
  <sheetViews>
    <sheetView zoomScale="130" zoomScaleNormal="130" workbookViewId="0">
      <selection activeCell="B12" sqref="B12"/>
    </sheetView>
  </sheetViews>
  <sheetFormatPr defaultColWidth="15" defaultRowHeight="13.2" x14ac:dyDescent="0.25"/>
  <sheetData>
    <row r="1" spans="1:5" x14ac:dyDescent="0.25">
      <c r="A1" s="2" t="s">
        <v>42</v>
      </c>
      <c r="B1" t="s">
        <v>158</v>
      </c>
      <c r="C1" s="1" t="s">
        <v>0</v>
      </c>
      <c r="D1" s="1" t="s">
        <v>1</v>
      </c>
      <c r="E1" s="1" t="s">
        <v>2</v>
      </c>
    </row>
    <row r="2" spans="1:5" ht="20.399999999999999" x14ac:dyDescent="0.25">
      <c r="A2" s="4" t="s">
        <v>3</v>
      </c>
      <c r="B2" t="s">
        <v>159</v>
      </c>
      <c r="C2" s="6">
        <v>11</v>
      </c>
      <c r="D2" s="6">
        <v>7</v>
      </c>
      <c r="E2" s="3">
        <v>64</v>
      </c>
    </row>
    <row r="3" spans="1:5" ht="20.399999999999999" x14ac:dyDescent="0.25">
      <c r="A3" s="4" t="s">
        <v>4</v>
      </c>
      <c r="B3" t="s">
        <v>160</v>
      </c>
      <c r="C3" s="6">
        <v>39</v>
      </c>
      <c r="D3" s="6">
        <v>36</v>
      </c>
      <c r="E3" s="3">
        <v>92</v>
      </c>
    </row>
    <row r="4" spans="1:5" ht="20.399999999999999" x14ac:dyDescent="0.25">
      <c r="A4" s="4" t="s">
        <v>5</v>
      </c>
      <c r="B4" t="s">
        <v>161</v>
      </c>
      <c r="C4" s="6">
        <v>18</v>
      </c>
      <c r="D4" s="6">
        <v>13</v>
      </c>
      <c r="E4" s="3">
        <v>72</v>
      </c>
    </row>
    <row r="5" spans="1:5" ht="20.399999999999999" x14ac:dyDescent="0.25">
      <c r="A5" s="4" t="s">
        <v>6</v>
      </c>
      <c r="B5" t="s">
        <v>161</v>
      </c>
      <c r="C5" s="6">
        <v>33</v>
      </c>
      <c r="D5" s="6">
        <v>28</v>
      </c>
      <c r="E5" s="3">
        <v>85</v>
      </c>
    </row>
    <row r="6" spans="1:5" x14ac:dyDescent="0.25">
      <c r="A6" s="4" t="s">
        <v>7</v>
      </c>
      <c r="B6" t="s">
        <v>162</v>
      </c>
      <c r="C6" s="8"/>
      <c r="D6" s="8"/>
      <c r="E6" s="8"/>
    </row>
    <row r="7" spans="1:5" x14ac:dyDescent="0.25">
      <c r="A7" s="4" t="s">
        <v>8</v>
      </c>
      <c r="B7" t="s">
        <v>162</v>
      </c>
      <c r="C7" s="5"/>
      <c r="D7" s="5"/>
      <c r="E7" s="5"/>
    </row>
    <row r="8" spans="1:5" ht="20.399999999999999" x14ac:dyDescent="0.25">
      <c r="A8" s="4" t="s">
        <v>9</v>
      </c>
      <c r="B8" t="s">
        <v>178</v>
      </c>
      <c r="C8" s="6">
        <v>114</v>
      </c>
      <c r="D8" s="6">
        <v>90</v>
      </c>
      <c r="E8" s="3">
        <v>79</v>
      </c>
    </row>
    <row r="9" spans="1:5" ht="20.399999999999999" x14ac:dyDescent="0.25">
      <c r="A9" s="4" t="s">
        <v>10</v>
      </c>
      <c r="B9" t="s">
        <v>163</v>
      </c>
      <c r="C9" s="6">
        <v>44</v>
      </c>
      <c r="D9" s="6">
        <v>39</v>
      </c>
      <c r="E9" s="3">
        <v>89</v>
      </c>
    </row>
    <row r="10" spans="1:5" x14ac:dyDescent="0.25">
      <c r="A10" s="4" t="s">
        <v>11</v>
      </c>
      <c r="B10" t="s">
        <v>162</v>
      </c>
      <c r="C10" s="6">
        <v>90</v>
      </c>
      <c r="D10" s="6">
        <v>86</v>
      </c>
      <c r="E10" s="3">
        <v>96</v>
      </c>
    </row>
    <row r="11" spans="1:5" ht="20.399999999999999" x14ac:dyDescent="0.25">
      <c r="A11" s="4" t="s">
        <v>12</v>
      </c>
      <c r="B11" t="s">
        <v>159</v>
      </c>
      <c r="C11" s="6">
        <v>16</v>
      </c>
      <c r="D11" s="6">
        <v>15</v>
      </c>
      <c r="E11" s="3">
        <v>94</v>
      </c>
    </row>
    <row r="12" spans="1:5" x14ac:dyDescent="0.25">
      <c r="A12" s="4" t="s">
        <v>13</v>
      </c>
      <c r="B12" t="s">
        <v>179</v>
      </c>
      <c r="C12" s="6">
        <v>31</v>
      </c>
      <c r="D12" s="6">
        <v>29</v>
      </c>
      <c r="E12" s="3">
        <v>94</v>
      </c>
    </row>
    <row r="13" spans="1:5" x14ac:dyDescent="0.25">
      <c r="A13" s="4" t="s">
        <v>14</v>
      </c>
      <c r="B13" t="s">
        <v>164</v>
      </c>
      <c r="C13" s="5"/>
      <c r="D13" s="5"/>
      <c r="E13" s="5"/>
    </row>
    <row r="14" spans="1:5" x14ac:dyDescent="0.25">
      <c r="A14" s="4" t="s">
        <v>15</v>
      </c>
      <c r="B14" t="s">
        <v>165</v>
      </c>
      <c r="C14" s="6">
        <v>101</v>
      </c>
      <c r="D14" s="6">
        <v>82</v>
      </c>
      <c r="E14" s="3">
        <v>81</v>
      </c>
    </row>
    <row r="15" spans="1:5" x14ac:dyDescent="0.25">
      <c r="A15" s="4" t="s">
        <v>16</v>
      </c>
      <c r="B15" t="s">
        <v>166</v>
      </c>
      <c r="C15" s="6">
        <v>108</v>
      </c>
      <c r="D15" s="6">
        <v>95</v>
      </c>
      <c r="E15" s="3">
        <v>88</v>
      </c>
    </row>
    <row r="16" spans="1:5" ht="40.799999999999997" x14ac:dyDescent="0.25">
      <c r="A16" s="9" t="s">
        <v>17</v>
      </c>
      <c r="B16" t="s">
        <v>167</v>
      </c>
      <c r="C16" s="6">
        <v>30</v>
      </c>
      <c r="D16" s="6">
        <v>22</v>
      </c>
      <c r="E16" s="3">
        <v>73</v>
      </c>
    </row>
    <row r="17" spans="1:5" x14ac:dyDescent="0.25">
      <c r="A17" s="4" t="s">
        <v>18</v>
      </c>
      <c r="B17" t="s">
        <v>168</v>
      </c>
      <c r="C17" s="6">
        <v>36</v>
      </c>
      <c r="D17" s="6">
        <v>32</v>
      </c>
      <c r="E17" s="3">
        <v>89</v>
      </c>
    </row>
    <row r="18" spans="1:5" ht="30.6" x14ac:dyDescent="0.25">
      <c r="A18" s="9" t="s">
        <v>19</v>
      </c>
      <c r="B18" t="s">
        <v>169</v>
      </c>
      <c r="C18" s="6">
        <v>40</v>
      </c>
      <c r="D18" s="6">
        <v>37</v>
      </c>
      <c r="E18" s="3">
        <v>93</v>
      </c>
    </row>
    <row r="19" spans="1:5" x14ac:dyDescent="0.25">
      <c r="A19" s="4" t="s">
        <v>20</v>
      </c>
      <c r="B19" t="s">
        <v>170</v>
      </c>
      <c r="C19" s="6">
        <v>47</v>
      </c>
      <c r="D19" s="6">
        <v>41</v>
      </c>
      <c r="E19" s="3">
        <v>87</v>
      </c>
    </row>
    <row r="20" spans="1:5" x14ac:dyDescent="0.25">
      <c r="A20" s="4" t="s">
        <v>21</v>
      </c>
      <c r="B20" t="s">
        <v>171</v>
      </c>
      <c r="C20" s="6">
        <v>83</v>
      </c>
      <c r="D20" s="6">
        <v>69</v>
      </c>
      <c r="E20" s="3">
        <v>83</v>
      </c>
    </row>
    <row r="21" spans="1:5" x14ac:dyDescent="0.25">
      <c r="A21" s="4" t="s">
        <v>22</v>
      </c>
      <c r="B21" t="s">
        <v>172</v>
      </c>
      <c r="C21" s="6">
        <v>42</v>
      </c>
      <c r="D21" s="6">
        <v>37</v>
      </c>
      <c r="E21" s="3">
        <v>88</v>
      </c>
    </row>
    <row r="22" spans="1:5" x14ac:dyDescent="0.25">
      <c r="A22" s="4" t="s">
        <v>23</v>
      </c>
      <c r="B22" t="s">
        <v>173</v>
      </c>
      <c r="C22" s="6">
        <v>44</v>
      </c>
      <c r="D22" s="6">
        <v>39</v>
      </c>
      <c r="E22" s="3">
        <v>89</v>
      </c>
    </row>
    <row r="23" spans="1:5" x14ac:dyDescent="0.25">
      <c r="A23" s="4" t="s">
        <v>24</v>
      </c>
      <c r="B23" t="s">
        <v>174</v>
      </c>
      <c r="C23" s="6">
        <v>64</v>
      </c>
      <c r="D23" s="6">
        <v>58</v>
      </c>
      <c r="E23" s="3">
        <v>91</v>
      </c>
    </row>
    <row r="24" spans="1:5" x14ac:dyDescent="0.25">
      <c r="A24" s="4" t="s">
        <v>25</v>
      </c>
      <c r="B24" t="s">
        <v>162</v>
      </c>
      <c r="C24" s="6">
        <v>62</v>
      </c>
      <c r="D24" s="6">
        <v>57</v>
      </c>
      <c r="E24" s="3">
        <v>92</v>
      </c>
    </row>
    <row r="25" spans="1:5" ht="20.399999999999999" x14ac:dyDescent="0.25">
      <c r="A25" s="9" t="s">
        <v>26</v>
      </c>
      <c r="B25" t="s">
        <v>175</v>
      </c>
      <c r="C25" s="6">
        <v>128</v>
      </c>
      <c r="D25" s="6">
        <v>105</v>
      </c>
      <c r="E25" s="3">
        <v>82</v>
      </c>
    </row>
    <row r="26" spans="1:5" ht="30.6" x14ac:dyDescent="0.25">
      <c r="A26" s="9" t="s">
        <v>27</v>
      </c>
      <c r="B26" t="s">
        <v>176</v>
      </c>
      <c r="C26" s="6">
        <v>60</v>
      </c>
      <c r="D26" s="6">
        <v>50</v>
      </c>
      <c r="E26" s="3">
        <v>83</v>
      </c>
    </row>
    <row r="27" spans="1:5" ht="20.399999999999999" x14ac:dyDescent="0.25">
      <c r="A27" s="4" t="s">
        <v>28</v>
      </c>
      <c r="B27" t="s">
        <v>177</v>
      </c>
      <c r="C27" s="6">
        <v>59</v>
      </c>
      <c r="D27" s="6">
        <v>57</v>
      </c>
      <c r="E27" s="3">
        <v>97</v>
      </c>
    </row>
    <row r="28" spans="1:5" ht="20.399999999999999" x14ac:dyDescent="0.25">
      <c r="A28" s="4" t="s">
        <v>29</v>
      </c>
      <c r="B28" t="s">
        <v>161</v>
      </c>
      <c r="C28" s="8"/>
      <c r="D28" s="8"/>
      <c r="E28" s="8"/>
    </row>
    <row r="29" spans="1:5" ht="20.399999999999999" x14ac:dyDescent="0.25">
      <c r="A29" s="4" t="s">
        <v>30</v>
      </c>
      <c r="B29" t="s">
        <v>173</v>
      </c>
      <c r="C29" s="6">
        <v>14</v>
      </c>
      <c r="D29" s="6">
        <v>7</v>
      </c>
      <c r="E29" s="3">
        <v>50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D60C5-A27A-4E68-92CA-7E3FD0441A01}">
  <dimension ref="A1:E29"/>
  <sheetViews>
    <sheetView tabSelected="1" zoomScale="130" zoomScaleNormal="130" workbookViewId="0">
      <selection activeCell="B12" sqref="B12"/>
    </sheetView>
  </sheetViews>
  <sheetFormatPr defaultColWidth="24.6640625" defaultRowHeight="13.2" x14ac:dyDescent="0.25"/>
  <sheetData>
    <row r="1" spans="1:5" x14ac:dyDescent="0.25">
      <c r="A1" s="2" t="s">
        <v>42</v>
      </c>
      <c r="B1" t="s">
        <v>158</v>
      </c>
      <c r="C1" s="1" t="s">
        <v>0</v>
      </c>
      <c r="D1" s="1" t="s">
        <v>1</v>
      </c>
      <c r="E1" s="1" t="s">
        <v>2</v>
      </c>
    </row>
    <row r="2" spans="1:5" x14ac:dyDescent="0.25">
      <c r="A2" s="4" t="s">
        <v>3</v>
      </c>
      <c r="B2" t="s">
        <v>159</v>
      </c>
      <c r="C2" s="5"/>
      <c r="D2" s="5"/>
      <c r="E2" s="5"/>
    </row>
    <row r="3" spans="1:5" x14ac:dyDescent="0.25">
      <c r="A3" s="4" t="s">
        <v>4</v>
      </c>
      <c r="B3" t="s">
        <v>160</v>
      </c>
      <c r="C3" s="6">
        <v>46</v>
      </c>
      <c r="D3" s="6">
        <v>44</v>
      </c>
      <c r="E3" s="3">
        <v>96</v>
      </c>
    </row>
    <row r="4" spans="1:5" x14ac:dyDescent="0.25">
      <c r="A4" s="4" t="s">
        <v>5</v>
      </c>
      <c r="B4" t="s">
        <v>161</v>
      </c>
      <c r="C4" s="6">
        <v>19</v>
      </c>
      <c r="D4" s="6">
        <v>17</v>
      </c>
      <c r="E4" s="3">
        <v>89</v>
      </c>
    </row>
    <row r="5" spans="1:5" x14ac:dyDescent="0.25">
      <c r="A5" s="4" t="s">
        <v>6</v>
      </c>
      <c r="B5" t="s">
        <v>161</v>
      </c>
      <c r="C5" s="6">
        <v>30</v>
      </c>
      <c r="D5" s="6">
        <v>28</v>
      </c>
      <c r="E5" s="3">
        <v>93</v>
      </c>
    </row>
    <row r="6" spans="1:5" x14ac:dyDescent="0.25">
      <c r="A6" s="4" t="s">
        <v>7</v>
      </c>
      <c r="B6" t="s">
        <v>162</v>
      </c>
      <c r="C6" s="7"/>
      <c r="D6" s="7"/>
      <c r="E6" s="8"/>
    </row>
    <row r="7" spans="1:5" x14ac:dyDescent="0.25">
      <c r="A7" s="4" t="s">
        <v>8</v>
      </c>
      <c r="B7" t="s">
        <v>162</v>
      </c>
      <c r="C7" s="5"/>
      <c r="D7" s="5"/>
      <c r="E7" s="5"/>
    </row>
    <row r="8" spans="1:5" x14ac:dyDescent="0.25">
      <c r="A8" s="4" t="s">
        <v>9</v>
      </c>
      <c r="B8" t="s">
        <v>178</v>
      </c>
      <c r="C8" s="6">
        <v>118</v>
      </c>
      <c r="D8" s="6">
        <v>82</v>
      </c>
      <c r="E8" s="3">
        <v>78</v>
      </c>
    </row>
    <row r="9" spans="1:5" x14ac:dyDescent="0.25">
      <c r="A9" s="4" t="s">
        <v>10</v>
      </c>
      <c r="B9" t="s">
        <v>163</v>
      </c>
      <c r="C9" s="6">
        <v>41</v>
      </c>
      <c r="D9" s="6">
        <v>31</v>
      </c>
      <c r="E9" s="3">
        <v>76</v>
      </c>
    </row>
    <row r="10" spans="1:5" x14ac:dyDescent="0.25">
      <c r="A10" s="4" t="s">
        <v>11</v>
      </c>
      <c r="B10" t="s">
        <v>162</v>
      </c>
      <c r="C10" s="6">
        <v>62</v>
      </c>
      <c r="D10" s="6">
        <v>57</v>
      </c>
      <c r="E10" s="3">
        <v>92</v>
      </c>
    </row>
    <row r="11" spans="1:5" x14ac:dyDescent="0.25">
      <c r="A11" s="4" t="s">
        <v>12</v>
      </c>
      <c r="B11" t="s">
        <v>159</v>
      </c>
      <c r="C11" s="5"/>
      <c r="D11" s="5"/>
      <c r="E11" s="5"/>
    </row>
    <row r="12" spans="1:5" x14ac:dyDescent="0.25">
      <c r="A12" s="4" t="s">
        <v>13</v>
      </c>
      <c r="B12" t="s">
        <v>179</v>
      </c>
      <c r="C12" s="6">
        <v>38</v>
      </c>
      <c r="D12" s="6">
        <v>38</v>
      </c>
      <c r="E12" s="3">
        <v>100</v>
      </c>
    </row>
    <row r="13" spans="1:5" x14ac:dyDescent="0.25">
      <c r="A13" s="4" t="s">
        <v>14</v>
      </c>
      <c r="B13" t="s">
        <v>164</v>
      </c>
      <c r="C13" s="5"/>
      <c r="D13" s="5"/>
      <c r="E13" s="5"/>
    </row>
    <row r="14" spans="1:5" x14ac:dyDescent="0.25">
      <c r="A14" s="4" t="s">
        <v>15</v>
      </c>
      <c r="B14" t="s">
        <v>165</v>
      </c>
      <c r="C14" s="6">
        <v>102</v>
      </c>
      <c r="D14" s="6">
        <v>80</v>
      </c>
      <c r="E14" s="3">
        <v>78</v>
      </c>
    </row>
    <row r="15" spans="1:5" x14ac:dyDescent="0.25">
      <c r="A15" s="4" t="s">
        <v>16</v>
      </c>
      <c r="B15" t="s">
        <v>166</v>
      </c>
      <c r="C15" s="6">
        <v>117</v>
      </c>
      <c r="D15" s="6">
        <v>111</v>
      </c>
      <c r="E15" s="3">
        <v>95</v>
      </c>
    </row>
    <row r="16" spans="1:5" ht="20.399999999999999" x14ac:dyDescent="0.25">
      <c r="A16" s="9" t="s">
        <v>17</v>
      </c>
      <c r="B16" t="s">
        <v>167</v>
      </c>
      <c r="C16" s="6">
        <v>37</v>
      </c>
      <c r="D16" s="6">
        <v>36</v>
      </c>
      <c r="E16" s="3">
        <v>97</v>
      </c>
    </row>
    <row r="17" spans="1:5" x14ac:dyDescent="0.25">
      <c r="A17" s="4" t="s">
        <v>18</v>
      </c>
      <c r="B17" t="s">
        <v>168</v>
      </c>
      <c r="C17" s="6">
        <v>40</v>
      </c>
      <c r="D17" s="6">
        <v>39</v>
      </c>
      <c r="E17" s="3">
        <v>98</v>
      </c>
    </row>
    <row r="18" spans="1:5" ht="20.399999999999999" x14ac:dyDescent="0.25">
      <c r="A18" s="9" t="s">
        <v>19</v>
      </c>
      <c r="B18" t="s">
        <v>169</v>
      </c>
      <c r="C18" s="6">
        <v>38</v>
      </c>
      <c r="D18" s="6">
        <v>36</v>
      </c>
      <c r="E18" s="3">
        <v>95</v>
      </c>
    </row>
    <row r="19" spans="1:5" x14ac:dyDescent="0.25">
      <c r="A19" s="4" t="s">
        <v>20</v>
      </c>
      <c r="B19" t="s">
        <v>170</v>
      </c>
      <c r="C19" s="6">
        <v>48</v>
      </c>
      <c r="D19" s="6">
        <v>42</v>
      </c>
      <c r="E19" s="3">
        <v>88</v>
      </c>
    </row>
    <row r="20" spans="1:5" x14ac:dyDescent="0.25">
      <c r="A20" s="4" t="s">
        <v>21</v>
      </c>
      <c r="B20" t="s">
        <v>171</v>
      </c>
      <c r="C20" s="6">
        <v>84</v>
      </c>
      <c r="D20" s="6">
        <v>69</v>
      </c>
      <c r="E20" s="3">
        <v>82</v>
      </c>
    </row>
    <row r="21" spans="1:5" x14ac:dyDescent="0.25">
      <c r="A21" s="4" t="s">
        <v>22</v>
      </c>
      <c r="B21" t="s">
        <v>172</v>
      </c>
      <c r="C21" s="6">
        <v>82</v>
      </c>
      <c r="D21" s="6">
        <v>73</v>
      </c>
      <c r="E21" s="3">
        <v>89</v>
      </c>
    </row>
    <row r="22" spans="1:5" x14ac:dyDescent="0.25">
      <c r="A22" s="4" t="s">
        <v>23</v>
      </c>
      <c r="B22" t="s">
        <v>173</v>
      </c>
      <c r="C22" s="6">
        <v>27</v>
      </c>
      <c r="D22" s="6">
        <v>26</v>
      </c>
      <c r="E22" s="3">
        <v>96</v>
      </c>
    </row>
    <row r="23" spans="1:5" x14ac:dyDescent="0.25">
      <c r="A23" s="4" t="s">
        <v>24</v>
      </c>
      <c r="B23" t="s">
        <v>174</v>
      </c>
      <c r="C23" s="6">
        <v>58</v>
      </c>
      <c r="D23" s="6">
        <v>53</v>
      </c>
      <c r="E23" s="3">
        <v>91</v>
      </c>
    </row>
    <row r="24" spans="1:5" x14ac:dyDescent="0.25">
      <c r="A24" s="4" t="s">
        <v>25</v>
      </c>
      <c r="B24" t="s">
        <v>162</v>
      </c>
      <c r="C24" s="6">
        <v>63</v>
      </c>
      <c r="D24" s="6">
        <v>59</v>
      </c>
      <c r="E24" s="3">
        <v>94</v>
      </c>
    </row>
    <row r="25" spans="1:5" ht="20.399999999999999" x14ac:dyDescent="0.25">
      <c r="A25" s="9" t="s">
        <v>26</v>
      </c>
      <c r="B25" t="s">
        <v>175</v>
      </c>
      <c r="C25" s="6">
        <v>110</v>
      </c>
      <c r="D25" s="6">
        <v>89</v>
      </c>
      <c r="E25" s="3">
        <v>81</v>
      </c>
    </row>
    <row r="26" spans="1:5" ht="20.399999999999999" x14ac:dyDescent="0.25">
      <c r="A26" s="9" t="s">
        <v>27</v>
      </c>
      <c r="B26" t="s">
        <v>176</v>
      </c>
      <c r="C26" s="6">
        <v>37</v>
      </c>
      <c r="D26" s="6">
        <v>36</v>
      </c>
      <c r="E26" s="3">
        <v>97</v>
      </c>
    </row>
    <row r="27" spans="1:5" x14ac:dyDescent="0.25">
      <c r="A27" s="4" t="s">
        <v>28</v>
      </c>
      <c r="B27" t="s">
        <v>177</v>
      </c>
      <c r="C27" s="6">
        <v>72</v>
      </c>
      <c r="D27" s="6">
        <v>68</v>
      </c>
      <c r="E27" s="3">
        <v>94</v>
      </c>
    </row>
    <row r="28" spans="1:5" x14ac:dyDescent="0.25">
      <c r="A28" s="4" t="s">
        <v>29</v>
      </c>
      <c r="B28" t="s">
        <v>161</v>
      </c>
      <c r="C28" s="7"/>
      <c r="D28" s="7"/>
      <c r="E28" s="8"/>
    </row>
    <row r="29" spans="1:5" x14ac:dyDescent="0.25">
      <c r="A29" s="4" t="s">
        <v>30</v>
      </c>
      <c r="B29" t="s">
        <v>173</v>
      </c>
      <c r="C29" s="6">
        <v>3</v>
      </c>
      <c r="D29" s="6">
        <v>3</v>
      </c>
      <c r="E29" s="3">
        <v>100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1669602-3807-41B8-81E2-C53CF6EC467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Region</vt:lpstr>
      <vt:lpstr>TN</vt:lpstr>
      <vt:lpstr>Sheet3</vt:lpstr>
      <vt:lpstr>Table 1</vt:lpstr>
      <vt:lpstr>Heatmap-2024</vt:lpstr>
      <vt:lpstr>Heatmap-2023</vt:lpstr>
      <vt:lpstr>Heatmap-2022</vt:lpstr>
      <vt:lpstr>Heatmap-2021</vt:lpstr>
      <vt:lpstr>Heatmap-2020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Sherry Richardson</dc:creator>
  <cp:lastModifiedBy>Cao, Yan</cp:lastModifiedBy>
  <cp:lastPrinted>2025-07-17T17:28:02Z</cp:lastPrinted>
  <dcterms:created xsi:type="dcterms:W3CDTF">2025-07-09T19:30:19Z</dcterms:created>
  <dcterms:modified xsi:type="dcterms:W3CDTF">2026-01-21T13:42:08Z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2025-05-26T00:00:00Z</vt:filetime>
  </property>
  <property fmtid="{D5CDD505-2E9C-101B-9397-08002B2CF9AE}" pid="3" name="Creator">
    <vt:lpwstr>Acrobat PDFMaker 20 for Excel</vt:lpwstr>
  </property>
  <property fmtid="{D5CDD505-2E9C-101B-9397-08002B2CF9AE}" pid="4" name="LastSaved">
    <vt:filetime>2025-07-09T00:00:00Z</vt:filetime>
  </property>
  <property fmtid="{D5CDD505-2E9C-101B-9397-08002B2CF9AE}" pid="5" name="Producer">
    <vt:lpwstr>Adobe PDF Library 20.5.43</vt:lpwstr>
  </property>
</Properties>
</file>